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10703c70f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30批次数据" sheetId="1" r:id="Rc85173426c664797"/>
    <x:sheet xmlns:r="http://schemas.openxmlformats.org/officeDocument/2006/relationships" name="C30规则" sheetId="2" r:id="Rd08d376f8c64488b"/>
    <x:sheet xmlns:r="http://schemas.openxmlformats.org/officeDocument/2006/relationships" name="字段说明" sheetId="3" r:id="Rfd108442346c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"/>
    <x:numFmt numFmtId="202" formatCode="0"/>
    <x:numFmt numFmtId="203" formatCode="0%"/>
  </x:numFmts>
  <x:fonts count="8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17365D"/>
      <x:name val="Microsoft YaHei"/>
    </x:font>
    <x:font>
      <x:i/>
      <x:sz val="9"/>
      <x:color rgb="FF475569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sz val="10"/>
      <x:color rgb="FF17365D"/>
      <x:name val="Microsoft YaHei"/>
    </x:font>
    <x:font>
      <x:sz val="10"/>
      <x:color rgb="FF1F2937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4CCCC"/>
      </x:patternFill>
    </x:fill>
  </x:fills>
  <x:borders count="11">
    <x:border/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7" xfId="0" applyNumberFormat="1" applyFont="1" applyFill="1" applyBorder="1" applyAlignment="1">
      <x:alignment vertical="center"/>
    </x:xf>
    <x:xf numFmtId="201" fontId="5" fillId="0" borderId="5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203" fontId="7" fillId="0" borderId="8" xfId="0" applyNumberFormat="1" applyFont="1" applyFill="1" applyBorder="1" applyAlignment="1">
      <x:alignment vertical="center" wrapText="1"/>
    </x:xf>
    <x:xf numFmtId="203" fontId="7" fillId="0" borderId="9" xfId="0" applyNumberFormat="1" applyFont="1" applyFill="1" applyBorder="1" applyAlignment="1">
      <x:alignment vertical="center" wrapText="1"/>
    </x:xf>
    <x:xf numFmtId="203" fontId="7" fillId="0" borderId="10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203" fontId="7" fillId="6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203" fontId="7" fillId="7" borderId="9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203" fontId="7" fillId="8" borderId="9" xfId="0" applyNumberFormat="1" applyFont="1" applyFill="1" applyBorder="1" applyAlignment="1">
      <x:alignment vertical="center" wrapText="1"/>
    </x:xf>
    <x:xf numFmtId="0" fontId="7" fillId="9" borderId="9" xfId="0" applyNumberFormat="1" applyFont="1" applyFill="1" applyBorder="1" applyAlignment="1">
      <x:alignment vertical="center" wrapText="1"/>
    </x:xf>
    <x:xf numFmtId="203" fontId="7" fillId="9" borderId="9" xfId="0" applyNumberFormat="1" applyFont="1" applyFill="1" applyBorder="1" applyAlignment="1">
      <x:alignment vertical="center" wrapText="1"/>
    </x:xf>
    <x:xf numFmtId="0" fontId="7" fillId="10" borderId="10" xfId="0" applyNumberFormat="1" applyFont="1" applyFill="1" applyBorder="1" applyAlignment="1">
      <x:alignment vertical="center" wrapText="1"/>
    </x:xf>
    <x:xf numFmtId="203" fontId="7" fillId="10" borderId="10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FF2F6B2F"/>
      </x:font>
      <x:fill>
        <x:patternFill patternType="solid">
          <x:bgColor rgb="FFE2F0D9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aca5f544b4a91" /><Relationship Type="http://schemas.openxmlformats.org/officeDocument/2006/relationships/theme" Target="/xl/theme/theme1.xml" Id="R77dcbb88652d4d48" /><Relationship Type="http://schemas.openxmlformats.org/officeDocument/2006/relationships/sharedStrings" Target="/xl/sharedStrings.xml" Id="Re275e5a5cd5b4ec9" /><Relationship Type="http://schemas.openxmlformats.org/officeDocument/2006/relationships/worksheet" Target="/xl/worksheets/sheet1.xml" Id="Rc85173426c664797" /><Relationship Type="http://schemas.openxmlformats.org/officeDocument/2006/relationships/worksheet" Target="/xl/worksheets/sheet2.xml" Id="Rd08d376f8c64488b" /><Relationship Type="http://schemas.openxmlformats.org/officeDocument/2006/relationships/worksheet" Target="/xl/worksheets/sheet3.xml" Id="Rfd108442346c42ad" /></Relationships>
</file>

<file path=xl/tables/table1.xml><?xml version="1.0" encoding="utf-8"?>
<x:table xmlns:x="http://schemas.openxmlformats.org/spreadsheetml/2006/main" id="1" name="C30BatchTable" displayName="C30BatchTable" ref="A4:O304" headerRowCount="1" totalsRowCount="0" totalsRowShown="0">
  <x:tableColumns count="15">
    <x:tableColumn id="1" name="batch_id"/>
    <x:tableColumn id="2" name="production_time"/>
    <x:tableColumn id="3" name="strength_grade"/>
    <x:tableColumn id="4" name="condition_code"/>
    <x:tableColumn id="5" name="mixing_current_a"/>
    <x:tableColumn id="6" name="visual_workability"/>
    <x:tableColumn id="7" name="slump_deviation_mm"/>
    <x:tableColumn id="8" name="measured_slump_mm"/>
    <x:tableColumn id="9" name="measured_spread_mm"/>
    <x:tableColumn id="10" name="inverted_slump_time_s"/>
    <x:tableColumn id="11" name="field_judgement"/>
    <x:tableColumn id="12" name="disposition_action"/>
    <x:tableColumn id="13" name="retest_required"/>
    <x:tableColumn id="14" name="rule_check"/>
    <x:tableColumn id="15" name="data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30RuleTable" displayName="C30RuleTable" ref="A4:R9" headerRowCount="1" totalsRowCount="0" totalsRowShown="0">
  <x:tableColumns count="18">
    <x:tableColumn id="1" name="condition_code"/>
    <x:tableColumn id="2" name="工况"/>
    <x:tableColumn id="3" name="电流下限(A)"/>
    <x:tableColumn id="4" name="电流上限(A)"/>
    <x:tableColumn id="5" name="坍落度偏差下限(mm)"/>
    <x:tableColumn id="6" name="坍落度偏差上限(mm)"/>
    <x:tableColumn id="7" name="坍落度下限(mm)"/>
    <x:tableColumn id="8" name="坍落度上限(mm)"/>
    <x:tableColumn id="9" name="扩展度下限(mm)"/>
    <x:tableColumn id="10" name="扩展度上限(mm)"/>
    <x:tableColumn id="11" name="倒坍时间下限(s)"/>
    <x:tableColumn id="12" name="倒坍时间上限(s)"/>
    <x:tableColumn id="13" name="现场视频状态"/>
    <x:tableColumn id="14" name="现场判定"/>
    <x:tableColumn id="15" name="处置措施"/>
    <x:tableColumn id="16" name="是否复测"/>
    <x:tableColumn id="17" name="样本数"/>
    <x:tableColumn id="18" name="样本占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Table" displayName="FieldDictionaryTable" ref="A3:E18" headerRowCount="1" totalsRowCount="0" totalsRowShown="0">
  <x:tableColumns count="5">
    <x:tableColumn id="1" name="字段名"/>
    <x:tableColumn id="2" name="中文含义"/>
    <x:tableColumn id="3" name="类型/单位"/>
    <x:tableColumn id="4" name="示例"/>
    <x:tableColumn id="5" name="使用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ad55a0bfe34d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939a833355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f47ebd5d484d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4" hidden="0" customWidth="1"/>
    <x:col min="12" max="12" width="56" hidden="0" customWidth="1"/>
    <x:col min="13" max="13" width="16" hidden="0" customWidth="1"/>
    <x:col min="14" max="14" width="12" hidden="0" customWidth="1"/>
    <x:col min="15" max="15" width="16" hidden="0" customWidth="1"/>
  </x:cols>
  <x:sheetData>
    <x:row r="1" ht="30" customHeight="1">
      <x:c r="A1" s="3" t="str">
        <x:v>C30 泵送混凝土规则批次数据（300条）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12" t="str">
        <x:v>样本数</x:v>
      </x:c>
      <x:c r="B2" s="13" t="n">
        <x:v>300</x:v>
      </x:c>
      <x:c r="C2" s="13" t="str">
        <x:v>强度等级</x:v>
      </x:c>
      <x:c r="D2" s="13" t="str">
        <x:v>C30</x:v>
      </x:c>
      <x:c r="E2" s="13" t="str">
        <x:v>正常电流</x:v>
      </x:c>
      <x:c r="F2" s="13" t="str">
        <x:v>55–60A</x:v>
      </x:c>
      <x:c r="G2" s="13" t="str">
        <x:v>正常坍落度</x:v>
      </x:c>
      <x:c r="H2" s="13" t="str">
        <x:v>180±20mm</x:v>
      </x:c>
      <x:c r="I2" s="13" t="str">
        <x:v>正常扩展度</x:v>
      </x:c>
      <x:c r="J2" s="13" t="str">
        <x:v>530–570mm</x:v>
      </x:c>
      <x:c r="K2" s="13" t="str">
        <x:v>正常倒坍时间</x:v>
      </x:c>
      <x:c r="L2" s="13" t="str">
        <x:v>2.5–4.5s</x:v>
      </x:c>
      <x:c r="M2" s="13" t="str">
        <x:v>固定种子</x:v>
      </x:c>
      <x:c r="N2" s="13" t="n">
        <x:v>20260828</x:v>
      </x:c>
      <x:c r="O2" s="14" t="str">
        <x:v>RULE_DERIVED</x:v>
      </x:c>
    </x:row>
    <x:row r="3">
      <x:c r="A3" s="17" t="str">
        <x:v>说明：仅覆盖 C30；五档规则来自用户提供的脱敏规则表。数据按固定种子生成，可复现。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</x:row>
    <x:row r="4" ht="38" customHeight="1">
      <x:c r="A4" s="23" t="str">
        <x:v>batch_id</x:v>
      </x:c>
      <x:c r="B4" s="23" t="str">
        <x:v>production_time</x:v>
      </x:c>
      <x:c r="C4" s="23" t="str">
        <x:v>strength_grade</x:v>
      </x:c>
      <x:c r="D4" s="23" t="str">
        <x:v>condition_code</x:v>
      </x:c>
      <x:c r="E4" s="23" t="str">
        <x:v>mixing_current_a</x:v>
      </x:c>
      <x:c r="F4" s="23" t="str">
        <x:v>visual_workability</x:v>
      </x:c>
      <x:c r="G4" s="23" t="str">
        <x:v>slump_deviation_mm</x:v>
      </x:c>
      <x:c r="H4" s="23" t="str">
        <x:v>measured_slump_mm</x:v>
      </x:c>
      <x:c r="I4" s="23" t="str">
        <x:v>measured_spread_mm</x:v>
      </x:c>
      <x:c r="J4" s="23" t="str">
        <x:v>inverted_slump_time_s</x:v>
      </x:c>
      <x:c r="K4" s="23" t="str">
        <x:v>field_judgement</x:v>
      </x:c>
      <x:c r="L4" s="23" t="str">
        <x:v>disposition_action</x:v>
      </x:c>
      <x:c r="M4" s="23" t="str">
        <x:v>retest_required</x:v>
      </x:c>
      <x:c r="N4" s="23" t="str">
        <x:v>rule_check</x:v>
      </x:c>
      <x:c r="O4" s="23" t="str">
        <x:v>data_source</x:v>
      </x:c>
    </x:row>
    <x:row r="5">
      <x:c r="A5" s="28" t="str">
        <x:v>C30-20260729-001</x:v>
      </x:c>
      <x:c r="B5" s="31" t="n">
        <x:v>46232.334027777775</x:v>
      </x:c>
      <x:c r="C5" s="28" t="str">
        <x:v>C30</x:v>
      </x:c>
      <x:c r="D5" s="28" t="str">
        <x:v>NORMAL</x:v>
      </x:c>
      <x:c r="E5" s="34" t="n">
        <x:v>57.1</x:v>
      </x:c>
      <x:c r="F5" s="40" t="str">
        <x:v>稠度适中，包裹性好，不泌水，不结块，泵送顺畅</x:v>
      </x:c>
      <x:c r="G5" s="37" t="n">
        <x:v>2</x:v>
      </x:c>
      <x:c r="H5" s="37" t="n">
        <x:v>182</x:v>
      </x:c>
      <x:c r="I5" s="37" t="n">
        <x:v>553</x:v>
      </x:c>
      <x:c r="J5" s="34" t="n">
        <x:v>3.4</x:v>
      </x:c>
      <x:c r="K5" s="28" t="str">
        <x:v>合格</x:v>
      </x:c>
      <x:c r="L5" s="40" t="str">
        <x:v>终止搅拌，直接出料；同步记录台账，留存实测参数备查。</x:v>
      </x:c>
      <x:c r="M5" s="28" t="str">
        <x:v>否</x:v>
      </x:c>
      <x:c r="N5" s="28" t="str">
        <x:f>IF(COUNTIFS('C30规则'!$A$5:$A$9,D5,'C30规则'!$C$5:$C$9,"&lt;="&amp;E5,'C30规则'!$D$5:$D$9,"&gt;="&amp;E5,'C30规则'!$E$5:$E$9,"&lt;="&amp;G5,'C30规则'!$F$5:$F$9,"&gt;="&amp;G5,'C30规则'!$G$5:$G$9,"&lt;="&amp;H5,'C30规则'!$H$5:$H$9,"&gt;="&amp;H5,'C30规则'!$I$5:$I$9,"&lt;="&amp;I5,'C30规则'!$J$5:$J$9,"&gt;="&amp;I5,'C30规则'!$K$5:$K$9,"&lt;="&amp;J5,'C30规则'!$L$5:$L$9,"&gt;="&amp;J5)=1,"通过","检查")</x:f>
        <x:v>通过</x:v>
      </x:c>
      <x:c r="O5" s="28" t="str">
        <x:v>RULE_DERIVED</x:v>
      </x:c>
    </x:row>
    <x:row r="6">
      <x:c r="A6" s="29" t="str">
        <x:v>C30-20260729-002</x:v>
      </x:c>
      <x:c r="B6" s="32" t="n">
        <x:v>46232.36875</x:v>
      </x:c>
      <x:c r="C6" s="29" t="str">
        <x:v>C30</x:v>
      </x:c>
      <x:c r="D6" s="29" t="str">
        <x:v>NORMAL</x:v>
      </x:c>
      <x:c r="E6" s="35" t="n">
        <x:v>59.7</x:v>
      </x:c>
      <x:c r="F6" s="41" t="str">
        <x:v>稠度适中，包裹性好，不泌水，不结块，泵送顺畅</x:v>
      </x:c>
      <x:c r="G6" s="38" t="n">
        <x:v>-15</x:v>
      </x:c>
      <x:c r="H6" s="38" t="n">
        <x:v>165</x:v>
      </x:c>
      <x:c r="I6" s="38" t="n">
        <x:v>531</x:v>
      </x:c>
      <x:c r="J6" s="35" t="n">
        <x:v>4.4</x:v>
      </x:c>
      <x:c r="K6" s="29" t="str">
        <x:v>合格</x:v>
      </x:c>
      <x:c r="L6" s="41" t="str">
        <x:v>终止搅拌，直接出料；同步记录台账，留存实测参数备查。</x:v>
      </x:c>
      <x:c r="M6" s="29" t="str">
        <x:v>否</x:v>
      </x:c>
      <x:c r="N6" s="29" t="str">
        <x:f>IF(COUNTIFS('C30规则'!$A$5:$A$9,D6,'C30规则'!$C$5:$C$9,"&lt;="&amp;E6,'C30规则'!$D$5:$D$9,"&gt;="&amp;E6,'C30规则'!$E$5:$E$9,"&lt;="&amp;G6,'C30规则'!$F$5:$F$9,"&gt;="&amp;G6,'C30规则'!$G$5:$G$9,"&lt;="&amp;H6,'C30规则'!$H$5:$H$9,"&gt;="&amp;H6,'C30规则'!$I$5:$I$9,"&lt;="&amp;I6,'C30规则'!$J$5:$J$9,"&gt;="&amp;I6,'C30规则'!$K$5:$K$9,"&lt;="&amp;J6,'C30规则'!$L$5:$L$9,"&gt;="&amp;J6)=1,"通过","检查")</x:f>
        <x:v>通过</x:v>
      </x:c>
      <x:c r="O6" s="29" t="str">
        <x:v>RULE_DERIVED</x:v>
      </x:c>
    </x:row>
    <x:row r="7">
      <x:c r="A7" s="29" t="str">
        <x:v>C30-20260729-003</x:v>
      </x:c>
      <x:c r="B7" s="32" t="n">
        <x:v>46232.40277777778</x:v>
      </x:c>
      <x:c r="C7" s="29" t="str">
        <x:v>C30</x:v>
      </x:c>
      <x:c r="D7" s="29" t="str">
        <x:v>NORMAL</x:v>
      </x:c>
      <x:c r="E7" s="35" t="n">
        <x:v>55.5</x:v>
      </x:c>
      <x:c r="F7" s="41" t="str">
        <x:v>稠度适中，包裹性好，不泌水，不结块，泵送顺畅</x:v>
      </x:c>
      <x:c r="G7" s="38" t="n">
        <x:v>19</x:v>
      </x:c>
      <x:c r="H7" s="38" t="n">
        <x:v>199</x:v>
      </x:c>
      <x:c r="I7" s="38" t="n">
        <x:v>566</x:v>
      </x:c>
      <x:c r="J7" s="35" t="n">
        <x:v>2.8</x:v>
      </x:c>
      <x:c r="K7" s="29" t="str">
        <x:v>合格</x:v>
      </x:c>
      <x:c r="L7" s="41" t="str">
        <x:v>终止搅拌，直接出料；同步记录台账，留存实测参数备查。</x:v>
      </x:c>
      <x:c r="M7" s="29" t="str">
        <x:v>否</x:v>
      </x:c>
      <x:c r="N7" s="29" t="str">
        <x:f>IF(COUNTIFS('C30规则'!$A$5:$A$9,D7,'C30规则'!$C$5:$C$9,"&lt;="&amp;E7,'C30规则'!$D$5:$D$9,"&gt;="&amp;E7,'C30规则'!$E$5:$E$9,"&lt;="&amp;G7,'C30规则'!$F$5:$F$9,"&gt;="&amp;G7,'C30规则'!$G$5:$G$9,"&lt;="&amp;H7,'C30规则'!$H$5:$H$9,"&gt;="&amp;H7,'C30规则'!$I$5:$I$9,"&lt;="&amp;I7,'C30规则'!$J$5:$J$9,"&gt;="&amp;I7,'C30规则'!$K$5:$K$9,"&lt;="&amp;J7,'C30规则'!$L$5:$L$9,"&gt;="&amp;J7)=1,"通过","检查")</x:f>
        <x:v>通过</x:v>
      </x:c>
      <x:c r="O7" s="29" t="str">
        <x:v>RULE_DERIVED</x:v>
      </x:c>
    </x:row>
    <x:row r="8">
      <x:c r="A8" s="29" t="str">
        <x:v>C30-20260729-004</x:v>
      </x:c>
      <x:c r="B8" s="32" t="n">
        <x:v>46232.436111111114</x:v>
      </x:c>
      <x:c r="C8" s="29" t="str">
        <x:v>C30</x:v>
      </x:c>
      <x:c r="D8" s="29" t="str">
        <x:v>NORMAL</x:v>
      </x:c>
      <x:c r="E8" s="35" t="n">
        <x:v>57.6</x:v>
      </x:c>
      <x:c r="F8" s="41" t="str">
        <x:v>稠度适中，包裹性好，不泌水，不结块，泵送顺畅</x:v>
      </x:c>
      <x:c r="G8" s="38" t="n">
        <x:v>2</x:v>
      </x:c>
      <x:c r="H8" s="38" t="n">
        <x:v>182</x:v>
      </x:c>
      <x:c r="I8" s="38" t="n">
        <x:v>553</x:v>
      </x:c>
      <x:c r="J8" s="35" t="n">
        <x:v>3.4</x:v>
      </x:c>
      <x:c r="K8" s="29" t="str">
        <x:v>合格</x:v>
      </x:c>
      <x:c r="L8" s="41" t="str">
        <x:v>终止搅拌，直接出料；同步记录台账，留存实测参数备查。</x:v>
      </x:c>
      <x:c r="M8" s="29" t="str">
        <x:v>否</x:v>
      </x:c>
      <x:c r="N8" s="29" t="str">
        <x:f>IF(COUNTIFS('C30规则'!$A$5:$A$9,D8,'C30规则'!$C$5:$C$9,"&lt;="&amp;E8,'C30规则'!$D$5:$D$9,"&gt;="&amp;E8,'C30规则'!$E$5:$E$9,"&lt;="&amp;G8,'C30规则'!$F$5:$F$9,"&gt;="&amp;G8,'C30规则'!$G$5:$G$9,"&lt;="&amp;H8,'C30规则'!$H$5:$H$9,"&gt;="&amp;H8,'C30规则'!$I$5:$I$9,"&lt;="&amp;I8,'C30规则'!$J$5:$J$9,"&gt;="&amp;I8,'C30规则'!$K$5:$K$9,"&lt;="&amp;J8,'C30规则'!$L$5:$L$9,"&gt;="&amp;J8)=1,"通过","检查")</x:f>
        <x:v>通过</x:v>
      </x:c>
      <x:c r="O8" s="29" t="str">
        <x:v>RULE_DERIVED</x:v>
      </x:c>
    </x:row>
    <x:row r="9">
      <x:c r="A9" s="29" t="str">
        <x:v>C30-20260729-005</x:v>
      </x:c>
      <x:c r="B9" s="32" t="n">
        <x:v>46232.470138888886</x:v>
      </x:c>
      <x:c r="C9" s="29" t="str">
        <x:v>C30</x:v>
      </x:c>
      <x:c r="D9" s="29" t="str">
        <x:v>NORMAL</x:v>
      </x:c>
      <x:c r="E9" s="35" t="n">
        <x:v>55.7</x:v>
      </x:c>
      <x:c r="F9" s="41" t="str">
        <x:v>稠度适中，包裹性好，不泌水，不结块，泵送顺畅</x:v>
      </x:c>
      <x:c r="G9" s="38" t="n">
        <x:v>16</x:v>
      </x:c>
      <x:c r="H9" s="38" t="n">
        <x:v>196</x:v>
      </x:c>
      <x:c r="I9" s="38" t="n">
        <x:v>562</x:v>
      </x:c>
      <x:c r="J9" s="35" t="n">
        <x:v>2.8</x:v>
      </x:c>
      <x:c r="K9" s="29" t="str">
        <x:v>合格</x:v>
      </x:c>
      <x:c r="L9" s="41" t="str">
        <x:v>终止搅拌，直接出料；同步记录台账，留存实测参数备查。</x:v>
      </x:c>
      <x:c r="M9" s="29" t="str">
        <x:v>否</x:v>
      </x:c>
      <x:c r="N9" s="29" t="str">
        <x:f>IF(COUNTIFS('C30规则'!$A$5:$A$9,D9,'C30规则'!$C$5:$C$9,"&lt;="&amp;E9,'C30规则'!$D$5:$D$9,"&gt;="&amp;E9,'C30规则'!$E$5:$E$9,"&lt;="&amp;G9,'C30规则'!$F$5:$F$9,"&gt;="&amp;G9,'C30规则'!$G$5:$G$9,"&lt;="&amp;H9,'C30规则'!$H$5:$H$9,"&gt;="&amp;H9,'C30规则'!$I$5:$I$9,"&lt;="&amp;I9,'C30规则'!$J$5:$J$9,"&gt;="&amp;I9,'C30规则'!$K$5:$K$9,"&lt;="&amp;J9,'C30规则'!$L$5:$L$9,"&gt;="&amp;J9)=1,"通过","检查")</x:f>
        <x:v>通过</x:v>
      </x:c>
      <x:c r="O9" s="29" t="str">
        <x:v>RULE_DERIVED</x:v>
      </x:c>
    </x:row>
    <x:row r="10">
      <x:c r="A10" s="29" t="str">
        <x:v>C30-20260729-006</x:v>
      </x:c>
      <x:c r="B10" s="32" t="n">
        <x:v>46232.50208333333</x:v>
      </x:c>
      <x:c r="C10" s="29" t="str">
        <x:v>C30</x:v>
      </x:c>
      <x:c r="D10" s="29" t="str">
        <x:v>NORMAL</x:v>
      </x:c>
      <x:c r="E10" s="35" t="n">
        <x:v>58.8</x:v>
      </x:c>
      <x:c r="F10" s="41" t="str">
        <x:v>稠度适中，包裹性好，不泌水，不结块，泵送顺畅</x:v>
      </x:c>
      <x:c r="G10" s="38" t="n">
        <x:v>-8</x:v>
      </x:c>
      <x:c r="H10" s="38" t="n">
        <x:v>172</x:v>
      </x:c>
      <x:c r="I10" s="38" t="n">
        <x:v>534</x:v>
      </x:c>
      <x:c r="J10" s="35" t="n">
        <x:v>3.9</x:v>
      </x:c>
      <x:c r="K10" s="29" t="str">
        <x:v>合格</x:v>
      </x:c>
      <x:c r="L10" s="41" t="str">
        <x:v>终止搅拌，直接出料；同步记录台账，留存实测参数备查。</x:v>
      </x:c>
      <x:c r="M10" s="29" t="str">
        <x:v>否</x:v>
      </x:c>
      <x:c r="N10" s="29" t="str">
        <x:f>IF(COUNTIFS('C30规则'!$A$5:$A$9,D10,'C30规则'!$C$5:$C$9,"&lt;="&amp;E10,'C30规则'!$D$5:$D$9,"&gt;="&amp;E10,'C30规则'!$E$5:$E$9,"&lt;="&amp;G10,'C30规则'!$F$5:$F$9,"&gt;="&amp;G10,'C30规则'!$G$5:$G$9,"&lt;="&amp;H10,'C30规则'!$H$5:$H$9,"&gt;="&amp;H10,'C30规则'!$I$5:$I$9,"&lt;="&amp;I10,'C30规则'!$J$5:$J$9,"&gt;="&amp;I10,'C30规则'!$K$5:$K$9,"&lt;="&amp;J10,'C30规则'!$L$5:$L$9,"&gt;="&amp;J10)=1,"通过","检查")</x:f>
        <x:v>通过</x:v>
      </x:c>
      <x:c r="O10" s="29" t="str">
        <x:v>RULE_DERIVED</x:v>
      </x:c>
    </x:row>
    <x:row r="11">
      <x:c r="A11" s="29" t="str">
        <x:v>C30-20260729-007</x:v>
      </x:c>
      <x:c r="B11" s="32" t="n">
        <x:v>46232.538194444445</x:v>
      </x:c>
      <x:c r="C11" s="29" t="str">
        <x:v>C30</x:v>
      </x:c>
      <x:c r="D11" s="29" t="str">
        <x:v>WET_MILD</x:v>
      </x:c>
      <x:c r="E11" s="35" t="n">
        <x:v>45.8</x:v>
      </x:c>
      <x:c r="F11" s="41" t="str">
        <x:v>偏稀，流动性偏大，无泌水</x:v>
      </x:c>
      <x:c r="G11" s="38" t="n">
        <x:v>26</x:v>
      </x:c>
      <x:c r="H11" s="38" t="n">
        <x:v>206</x:v>
      </x:c>
      <x:c r="I11" s="38" t="n">
        <x:v>610</x:v>
      </x:c>
      <x:c r="J11" s="35" t="n">
        <x:v>1.9</x:v>
      </x:c>
      <x:c r="K11" s="29" t="str">
        <x:v>轻微异常</x:v>
      </x:c>
      <x:c r="L11" s="41" t="str">
        <x:v>加入5–8kg/m³干砂，搅拌30s后复测，达标后正常出料并观察泵送。</x:v>
      </x:c>
      <x:c r="M11" s="29" t="str">
        <x:v>是</x:v>
      </x:c>
      <x:c r="N11" s="29" t="str">
        <x:f>IF(COUNTIFS('C30规则'!$A$5:$A$9,D11,'C30规则'!$C$5:$C$9,"&lt;="&amp;E11,'C30规则'!$D$5:$D$9,"&gt;="&amp;E11,'C30规则'!$E$5:$E$9,"&lt;="&amp;G11,'C30规则'!$F$5:$F$9,"&gt;="&amp;G11,'C30规则'!$G$5:$G$9,"&lt;="&amp;H11,'C30规则'!$H$5:$H$9,"&gt;="&amp;H11,'C30规则'!$I$5:$I$9,"&lt;="&amp;I11,'C30规则'!$J$5:$J$9,"&gt;="&amp;I11,'C30规则'!$K$5:$K$9,"&lt;="&amp;J11,'C30规则'!$L$5:$L$9,"&gt;="&amp;J11)=1,"通过","检查")</x:f>
        <x:v>通过</x:v>
      </x:c>
      <x:c r="O11" s="29" t="str">
        <x:v>RULE_DERIVED</x:v>
      </x:c>
    </x:row>
    <x:row r="12">
      <x:c r="A12" s="29" t="str">
        <x:v>C30-20260729-008</x:v>
      </x:c>
      <x:c r="B12" s="32" t="n">
        <x:v>46232.566666666666</x:v>
      </x:c>
      <x:c r="C12" s="29" t="str">
        <x:v>C30</x:v>
      </x:c>
      <x:c r="D12" s="29" t="str">
        <x:v>NORMAL</x:v>
      </x:c>
      <x:c r="E12" s="35" t="n">
        <x:v>57.3</x:v>
      </x:c>
      <x:c r="F12" s="41" t="str">
        <x:v>稠度适中，包裹性好，不泌水，不结块，泵送顺畅</x:v>
      </x:c>
      <x:c r="G12" s="38" t="n">
        <x:v>3</x:v>
      </x:c>
      <x:c r="H12" s="38" t="n">
        <x:v>183</x:v>
      </x:c>
      <x:c r="I12" s="38" t="n">
        <x:v>550</x:v>
      </x:c>
      <x:c r="J12" s="35" t="n">
        <x:v>3.3</x:v>
      </x:c>
      <x:c r="K12" s="29" t="str">
        <x:v>合格</x:v>
      </x:c>
      <x:c r="L12" s="41" t="str">
        <x:v>终止搅拌，直接出料；同步记录台账，留存实测参数备查。</x:v>
      </x:c>
      <x:c r="M12" s="29" t="str">
        <x:v>否</x:v>
      </x:c>
      <x:c r="N12" s="29" t="str">
        <x:f>IF(COUNTIFS('C30规则'!$A$5:$A$9,D12,'C30规则'!$C$5:$C$9,"&lt;="&amp;E12,'C30规则'!$D$5:$D$9,"&gt;="&amp;E12,'C30规则'!$E$5:$E$9,"&lt;="&amp;G12,'C30规则'!$F$5:$F$9,"&gt;="&amp;G12,'C30规则'!$G$5:$G$9,"&lt;="&amp;H12,'C30规则'!$H$5:$H$9,"&gt;="&amp;H12,'C30规则'!$I$5:$I$9,"&lt;="&amp;I12,'C30规则'!$J$5:$J$9,"&gt;="&amp;I12,'C30规则'!$K$5:$K$9,"&lt;="&amp;J12,'C30规则'!$L$5:$L$9,"&gt;="&amp;J12)=1,"通过","检查")</x:f>
        <x:v>通过</x:v>
      </x:c>
      <x:c r="O12" s="29" t="str">
        <x:v>RULE_DERIVED</x:v>
      </x:c>
    </x:row>
    <x:row r="13">
      <x:c r="A13" s="29" t="str">
        <x:v>C30-20260729-009</x:v>
      </x:c>
      <x:c r="B13" s="32" t="n">
        <x:v>46232.604166666664</x:v>
      </x:c>
      <x:c r="C13" s="29" t="str">
        <x:v>C30</x:v>
      </x:c>
      <x:c r="D13" s="29" t="str">
        <x:v>NORMAL</x:v>
      </x:c>
      <x:c r="E13" s="35" t="n">
        <x:v>56.5</x:v>
      </x:c>
      <x:c r="F13" s="41" t="str">
        <x:v>稠度适中，包裹性好，不泌水，不结块，泵送顺畅</x:v>
      </x:c>
      <x:c r="G13" s="38" t="n">
        <x:v>10</x:v>
      </x:c>
      <x:c r="H13" s="38" t="n">
        <x:v>190</x:v>
      </x:c>
      <x:c r="I13" s="38" t="n">
        <x:v>561</x:v>
      </x:c>
      <x:c r="J13" s="35" t="n">
        <x:v>3</x:v>
      </x:c>
      <x:c r="K13" s="29" t="str">
        <x:v>合格</x:v>
      </x:c>
      <x:c r="L13" s="41" t="str">
        <x:v>终止搅拌，直接出料；同步记录台账，留存实测参数备查。</x:v>
      </x:c>
      <x:c r="M13" s="29" t="str">
        <x:v>否</x:v>
      </x:c>
      <x:c r="N13" s="29" t="str">
        <x:f>IF(COUNTIFS('C30规则'!$A$5:$A$9,D13,'C30规则'!$C$5:$C$9,"&lt;="&amp;E13,'C30规则'!$D$5:$D$9,"&gt;="&amp;E13,'C30规则'!$E$5:$E$9,"&lt;="&amp;G13,'C30规则'!$F$5:$F$9,"&gt;="&amp;G13,'C30规则'!$G$5:$G$9,"&lt;="&amp;H13,'C30规则'!$H$5:$H$9,"&gt;="&amp;H13,'C30规则'!$I$5:$I$9,"&lt;="&amp;I13,'C30规则'!$J$5:$J$9,"&gt;="&amp;I13,'C30规则'!$K$5:$K$9,"&lt;="&amp;J13,'C30规则'!$L$5:$L$9,"&gt;="&amp;J13)=1,"通过","检查")</x:f>
        <x:v>通过</x:v>
      </x:c>
      <x:c r="O13" s="29" t="str">
        <x:v>RULE_DERIVED</x:v>
      </x:c>
    </x:row>
    <x:row r="14">
      <x:c r="A14" s="29" t="str">
        <x:v>C30-20260729-010</x:v>
      </x:c>
      <x:c r="B14" s="32" t="n">
        <x:v>46232.63680555556</x:v>
      </x:c>
      <x:c r="C14" s="29" t="str">
        <x:v>C30</x:v>
      </x:c>
      <x:c r="D14" s="29" t="str">
        <x:v>NORMAL</x:v>
      </x:c>
      <x:c r="E14" s="35" t="n">
        <x:v>57.6</x:v>
      </x:c>
      <x:c r="F14" s="41" t="str">
        <x:v>稠度适中，包裹性好，不泌水，不结块，泵送顺畅</x:v>
      </x:c>
      <x:c r="G14" s="38" t="n">
        <x:v>-4</x:v>
      </x:c>
      <x:c r="H14" s="38" t="n">
        <x:v>176</x:v>
      </x:c>
      <x:c r="I14" s="38" t="n">
        <x:v>554</x:v>
      </x:c>
      <x:c r="J14" s="35" t="n">
        <x:v>3.5</x:v>
      </x:c>
      <x:c r="K14" s="29" t="str">
        <x:v>合格</x:v>
      </x:c>
      <x:c r="L14" s="41" t="str">
        <x:v>终止搅拌，直接出料；同步记录台账，留存实测参数备查。</x:v>
      </x:c>
      <x:c r="M14" s="29" t="str">
        <x:v>否</x:v>
      </x:c>
      <x:c r="N14" s="29" t="str">
        <x:f>IF(COUNTIFS('C30规则'!$A$5:$A$9,D14,'C30规则'!$C$5:$C$9,"&lt;="&amp;E14,'C30规则'!$D$5:$D$9,"&gt;="&amp;E14,'C30规则'!$E$5:$E$9,"&lt;="&amp;G14,'C30规则'!$F$5:$F$9,"&gt;="&amp;G14,'C30规则'!$G$5:$G$9,"&lt;="&amp;H14,'C30规则'!$H$5:$H$9,"&gt;="&amp;H14,'C30规则'!$I$5:$I$9,"&lt;="&amp;I14,'C30规则'!$J$5:$J$9,"&gt;="&amp;I14,'C30规则'!$K$5:$K$9,"&lt;="&amp;J14,'C30规则'!$L$5:$L$9,"&gt;="&amp;J14)=1,"通过","检查")</x:f>
        <x:v>通过</x:v>
      </x:c>
      <x:c r="O14" s="29" t="str">
        <x:v>RULE_DERIVED</x:v>
      </x:c>
    </x:row>
    <x:row r="15">
      <x:c r="A15" s="29" t="str">
        <x:v>C30-20260730-001</x:v>
      </x:c>
      <x:c r="B15" s="32" t="n">
        <x:v>46233.33611111111</x:v>
      </x:c>
      <x:c r="C15" s="29" t="str">
        <x:v>C30</x:v>
      </x:c>
      <x:c r="D15" s="29" t="str">
        <x:v>DRY_MILD</x:v>
      </x:c>
      <x:c r="E15" s="35" t="n">
        <x:v>65.6</x:v>
      </x:c>
      <x:c r="F15" s="41" t="str">
        <x:v>偏干，骨料微裸露，流动性偏弱</x:v>
      </x:c>
      <x:c r="G15" s="38" t="n">
        <x:v>-29</x:v>
      </x:c>
      <x:c r="H15" s="38" t="n">
        <x:v>151</x:v>
      </x:c>
      <x:c r="I15" s="38" t="n">
        <x:v>505</x:v>
      </x:c>
      <x:c r="J15" s="35" t="n">
        <x:v>5.1</x:v>
      </x:c>
      <x:c r="K15" s="29" t="str">
        <x:v>轻微异常</x:v>
      </x:c>
      <x:c r="L15" s="41" t="str">
        <x:v>优先增加聚羧酸减水剂掺量0.1%，搅拌30s后复测，达标后出料。</x:v>
      </x:c>
      <x:c r="M15" s="29" t="str">
        <x:v>是</x:v>
      </x:c>
      <x:c r="N15" s="29" t="str">
        <x:f>IF(COUNTIFS('C30规则'!$A$5:$A$9,D15,'C30规则'!$C$5:$C$9,"&lt;="&amp;E15,'C30规则'!$D$5:$D$9,"&gt;="&amp;E15,'C30规则'!$E$5:$E$9,"&lt;="&amp;G15,'C30规则'!$F$5:$F$9,"&gt;="&amp;G15,'C30规则'!$G$5:$G$9,"&lt;="&amp;H15,'C30规则'!$H$5:$H$9,"&gt;="&amp;H15,'C30规则'!$I$5:$I$9,"&lt;="&amp;I15,'C30规则'!$J$5:$J$9,"&gt;="&amp;I15,'C30规则'!$K$5:$K$9,"&lt;="&amp;J15,'C30规则'!$L$5:$L$9,"&gt;="&amp;J15)=1,"通过","检查")</x:f>
        <x:v>通过</x:v>
      </x:c>
      <x:c r="O15" s="29" t="str">
        <x:v>RULE_DERIVED</x:v>
      </x:c>
    </x:row>
    <x:row r="16">
      <x:c r="A16" s="29" t="str">
        <x:v>C30-20260730-002</x:v>
      </x:c>
      <x:c r="B16" s="32" t="n">
        <x:v>46233.36875</x:v>
      </x:c>
      <x:c r="C16" s="29" t="str">
        <x:v>C30</x:v>
      </x:c>
      <x:c r="D16" s="29" t="str">
        <x:v>NORMAL</x:v>
      </x:c>
      <x:c r="E16" s="35" t="n">
        <x:v>58</x:v>
      </x:c>
      <x:c r="F16" s="41" t="str">
        <x:v>稠度适中，包裹性好，不泌水，不结块，泵送顺畅</x:v>
      </x:c>
      <x:c r="G16" s="38" t="n">
        <x:v>-3</x:v>
      </x:c>
      <x:c r="H16" s="38" t="n">
        <x:v>177</x:v>
      </x:c>
      <x:c r="I16" s="38" t="n">
        <x:v>540</x:v>
      </x:c>
      <x:c r="J16" s="35" t="n">
        <x:v>3.7</x:v>
      </x:c>
      <x:c r="K16" s="29" t="str">
        <x:v>合格</x:v>
      </x:c>
      <x:c r="L16" s="41" t="str">
        <x:v>终止搅拌，直接出料；同步记录台账，留存实测参数备查。</x:v>
      </x:c>
      <x:c r="M16" s="29" t="str">
        <x:v>否</x:v>
      </x:c>
      <x:c r="N16" s="29" t="str">
        <x:f>IF(COUNTIFS('C30规则'!$A$5:$A$9,D16,'C30规则'!$C$5:$C$9,"&lt;="&amp;E16,'C30规则'!$D$5:$D$9,"&gt;="&amp;E16,'C30规则'!$E$5:$E$9,"&lt;="&amp;G16,'C30规则'!$F$5:$F$9,"&gt;="&amp;G16,'C30规则'!$G$5:$G$9,"&lt;="&amp;H16,'C30规则'!$H$5:$H$9,"&gt;="&amp;H16,'C30规则'!$I$5:$I$9,"&lt;="&amp;I16,'C30规则'!$J$5:$J$9,"&gt;="&amp;I16,'C30规则'!$K$5:$K$9,"&lt;="&amp;J16,'C30规则'!$L$5:$L$9,"&gt;="&amp;J16)=1,"通过","检查")</x:f>
        <x:v>通过</x:v>
      </x:c>
      <x:c r="O16" s="29" t="str">
        <x:v>RULE_DERIVED</x:v>
      </x:c>
    </x:row>
    <x:row r="17">
      <x:c r="A17" s="29" t="str">
        <x:v>C30-20260730-003</x:v>
      </x:c>
      <x:c r="B17" s="32" t="n">
        <x:v>46233.402083333334</x:v>
      </x:c>
      <x:c r="C17" s="29" t="str">
        <x:v>C30</x:v>
      </x:c>
      <x:c r="D17" s="29" t="str">
        <x:v>NORMAL</x:v>
      </x:c>
      <x:c r="E17" s="35" t="n">
        <x:v>57.2</x:v>
      </x:c>
      <x:c r="F17" s="41" t="str">
        <x:v>稠度适中，包裹性好，不泌水，不结块，泵送顺畅</x:v>
      </x:c>
      <x:c r="G17" s="38" t="n">
        <x:v>3</x:v>
      </x:c>
      <x:c r="H17" s="38" t="n">
        <x:v>183</x:v>
      </x:c>
      <x:c r="I17" s="38" t="n">
        <x:v>559</x:v>
      </x:c>
      <x:c r="J17" s="35" t="n">
        <x:v>3.5</x:v>
      </x:c>
      <x:c r="K17" s="29" t="str">
        <x:v>合格</x:v>
      </x:c>
      <x:c r="L17" s="41" t="str">
        <x:v>终止搅拌，直接出料；同步记录台账，留存实测参数备查。</x:v>
      </x:c>
      <x:c r="M17" s="29" t="str">
        <x:v>否</x:v>
      </x:c>
      <x:c r="N17" s="29" t="str">
        <x:f>IF(COUNTIFS('C30规则'!$A$5:$A$9,D17,'C30规则'!$C$5:$C$9,"&lt;="&amp;E17,'C30规则'!$D$5:$D$9,"&gt;="&amp;E17,'C30规则'!$E$5:$E$9,"&lt;="&amp;G17,'C30规则'!$F$5:$F$9,"&gt;="&amp;G17,'C30规则'!$G$5:$G$9,"&lt;="&amp;H17,'C30规则'!$H$5:$H$9,"&gt;="&amp;H17,'C30规则'!$I$5:$I$9,"&lt;="&amp;I17,'C30规则'!$J$5:$J$9,"&gt;="&amp;I17,'C30规则'!$K$5:$K$9,"&lt;="&amp;J17,'C30规则'!$L$5:$L$9,"&gt;="&amp;J17)=1,"通过","检查")</x:f>
        <x:v>通过</x:v>
      </x:c>
      <x:c r="O17" s="29" t="str">
        <x:v>RULE_DERIVED</x:v>
      </x:c>
    </x:row>
    <x:row r="18">
      <x:c r="A18" s="29" t="str">
        <x:v>C30-20260730-004</x:v>
      </x:c>
      <x:c r="B18" s="32" t="n">
        <x:v>46233.43680555555</x:v>
      </x:c>
      <x:c r="C18" s="29" t="str">
        <x:v>C30</x:v>
      </x:c>
      <x:c r="D18" s="29" t="str">
        <x:v>DRY_MILD</x:v>
      </x:c>
      <x:c r="E18" s="35" t="n">
        <x:v>65.9</x:v>
      </x:c>
      <x:c r="F18" s="41" t="str">
        <x:v>偏干，骨料微裸露，流动性偏弱</x:v>
      </x:c>
      <x:c r="G18" s="38" t="n">
        <x:v>-26</x:v>
      </x:c>
      <x:c r="H18" s="38" t="n">
        <x:v>154</x:v>
      </x:c>
      <x:c r="I18" s="38" t="n">
        <x:v>509</x:v>
      </x:c>
      <x:c r="J18" s="35" t="n">
        <x:v>5.3</x:v>
      </x:c>
      <x:c r="K18" s="29" t="str">
        <x:v>轻微异常</x:v>
      </x:c>
      <x:c r="L18" s="41" t="str">
        <x:v>优先增加聚羧酸减水剂掺量0.1%，搅拌30s后复测，达标后出料。</x:v>
      </x:c>
      <x:c r="M18" s="29" t="str">
        <x:v>是</x:v>
      </x:c>
      <x:c r="N18" s="29" t="str">
        <x:f>IF(COUNTIFS('C30规则'!$A$5:$A$9,D18,'C30规则'!$C$5:$C$9,"&lt;="&amp;E18,'C30规则'!$D$5:$D$9,"&gt;="&amp;E18,'C30规则'!$E$5:$E$9,"&lt;="&amp;G18,'C30规则'!$F$5:$F$9,"&gt;="&amp;G18,'C30规则'!$G$5:$G$9,"&lt;="&amp;H18,'C30规则'!$H$5:$H$9,"&gt;="&amp;H18,'C30规则'!$I$5:$I$9,"&lt;="&amp;I18,'C30规则'!$J$5:$J$9,"&gt;="&amp;I18,'C30规则'!$K$5:$K$9,"&lt;="&amp;J18,'C30规则'!$L$5:$L$9,"&gt;="&amp;J18)=1,"通过","检查")</x:f>
        <x:v>通过</x:v>
      </x:c>
      <x:c r="O18" s="29" t="str">
        <x:v>RULE_DERIVED</x:v>
      </x:c>
    </x:row>
    <x:row r="19">
      <x:c r="A19" s="29" t="str">
        <x:v>C30-20260730-005</x:v>
      </x:c>
      <x:c r="B19" s="32" t="n">
        <x:v>46233.47152777778</x:v>
      </x:c>
      <x:c r="C19" s="29" t="str">
        <x:v>C30</x:v>
      </x:c>
      <x:c r="D19" s="29" t="str">
        <x:v>NORMAL</x:v>
      </x:c>
      <x:c r="E19" s="35" t="n">
        <x:v>59.4</x:v>
      </x:c>
      <x:c r="F19" s="41" t="str">
        <x:v>稠度适中，包裹性好，不泌水，不结块，泵送顺畅</x:v>
      </x:c>
      <x:c r="G19" s="38" t="n">
        <x:v>-14</x:v>
      </x:c>
      <x:c r="H19" s="38" t="n">
        <x:v>166</x:v>
      </x:c>
      <x:c r="I19" s="38" t="n">
        <x:v>530</x:v>
      </x:c>
      <x:c r="J19" s="35" t="n">
        <x:v>4.3</x:v>
      </x:c>
      <x:c r="K19" s="29" t="str">
        <x:v>合格</x:v>
      </x:c>
      <x:c r="L19" s="41" t="str">
        <x:v>终止搅拌，直接出料；同步记录台账，留存实测参数备查。</x:v>
      </x:c>
      <x:c r="M19" s="29" t="str">
        <x:v>否</x:v>
      </x:c>
      <x:c r="N19" s="29" t="str">
        <x:f>IF(COUNTIFS('C30规则'!$A$5:$A$9,D19,'C30规则'!$C$5:$C$9,"&lt;="&amp;E19,'C30规则'!$D$5:$D$9,"&gt;="&amp;E19,'C30规则'!$E$5:$E$9,"&lt;="&amp;G19,'C30规则'!$F$5:$F$9,"&gt;="&amp;G19,'C30规则'!$G$5:$G$9,"&lt;="&amp;H19,'C30规则'!$H$5:$H$9,"&gt;="&amp;H19,'C30规则'!$I$5:$I$9,"&lt;="&amp;I19,'C30规则'!$J$5:$J$9,"&gt;="&amp;I19,'C30规则'!$K$5:$K$9,"&lt;="&amp;J19,'C30规则'!$L$5:$L$9,"&gt;="&amp;J19)=1,"通过","检查")</x:f>
        <x:v>通过</x:v>
      </x:c>
      <x:c r="O19" s="29" t="str">
        <x:v>RULE_DERIVED</x:v>
      </x:c>
    </x:row>
    <x:row r="20">
      <x:c r="A20" s="29" t="str">
        <x:v>C30-20260730-006</x:v>
      </x:c>
      <x:c r="B20" s="32" t="n">
        <x:v>46233.50347222222</x:v>
      </x:c>
      <x:c r="C20" s="29" t="str">
        <x:v>C30</x:v>
      </x:c>
      <x:c r="D20" s="29" t="str">
        <x:v>NORMAL</x:v>
      </x:c>
      <x:c r="E20" s="35" t="n">
        <x:v>56</x:v>
      </x:c>
      <x:c r="F20" s="41" t="str">
        <x:v>稠度适中，包裹性好，不泌水，不结块，泵送顺畅</x:v>
      </x:c>
      <x:c r="G20" s="38" t="n">
        <x:v>10</x:v>
      </x:c>
      <x:c r="H20" s="38" t="n">
        <x:v>190</x:v>
      </x:c>
      <x:c r="I20" s="38" t="n">
        <x:v>560</x:v>
      </x:c>
      <x:c r="J20" s="35" t="n">
        <x:v>2.8</x:v>
      </x:c>
      <x:c r="K20" s="29" t="str">
        <x:v>合格</x:v>
      </x:c>
      <x:c r="L20" s="41" t="str">
        <x:v>终止搅拌，直接出料；同步记录台账，留存实测参数备查。</x:v>
      </x:c>
      <x:c r="M20" s="29" t="str">
        <x:v>否</x:v>
      </x:c>
      <x:c r="N20" s="29" t="str">
        <x:f>IF(COUNTIFS('C30规则'!$A$5:$A$9,D20,'C30规则'!$C$5:$C$9,"&lt;="&amp;E20,'C30规则'!$D$5:$D$9,"&gt;="&amp;E20,'C30规则'!$E$5:$E$9,"&lt;="&amp;G20,'C30规则'!$F$5:$F$9,"&gt;="&amp;G20,'C30规则'!$G$5:$G$9,"&lt;="&amp;H20,'C30规则'!$H$5:$H$9,"&gt;="&amp;H20,'C30规则'!$I$5:$I$9,"&lt;="&amp;I20,'C30规则'!$J$5:$J$9,"&gt;="&amp;I20,'C30规则'!$K$5:$K$9,"&lt;="&amp;J20,'C30规则'!$L$5:$L$9,"&gt;="&amp;J20)=1,"通过","检查")</x:f>
        <x:v>通过</x:v>
      </x:c>
      <x:c r="O20" s="29" t="str">
        <x:v>RULE_DERIVED</x:v>
      </x:c>
    </x:row>
    <x:row r="21">
      <x:c r="A21" s="29" t="str">
        <x:v>C30-20260730-007</x:v>
      </x:c>
      <x:c r="B21" s="32" t="n">
        <x:v>46233.535416666666</x:v>
      </x:c>
      <x:c r="C21" s="29" t="str">
        <x:v>C30</x:v>
      </x:c>
      <x:c r="D21" s="29" t="str">
        <x:v>NORMAL</x:v>
      </x:c>
      <x:c r="E21" s="35" t="n">
        <x:v>55.8</x:v>
      </x:c>
      <x:c r="F21" s="41" t="str">
        <x:v>稠度适中，包裹性好，不泌水，不结块，泵送顺畅</x:v>
      </x:c>
      <x:c r="G21" s="38" t="n">
        <x:v>16</x:v>
      </x:c>
      <x:c r="H21" s="38" t="n">
        <x:v>196</x:v>
      </x:c>
      <x:c r="I21" s="38" t="n">
        <x:v>564</x:v>
      </x:c>
      <x:c r="J21" s="35" t="n">
        <x:v>2.8</x:v>
      </x:c>
      <x:c r="K21" s="29" t="str">
        <x:v>合格</x:v>
      </x:c>
      <x:c r="L21" s="41" t="str">
        <x:v>终止搅拌，直接出料；同步记录台账，留存实测参数备查。</x:v>
      </x:c>
      <x:c r="M21" s="29" t="str">
        <x:v>否</x:v>
      </x:c>
      <x:c r="N21" s="29" t="str">
        <x:f>IF(COUNTIFS('C30规则'!$A$5:$A$9,D21,'C30规则'!$C$5:$C$9,"&lt;="&amp;E21,'C30规则'!$D$5:$D$9,"&gt;="&amp;E21,'C30规则'!$E$5:$E$9,"&lt;="&amp;G21,'C30规则'!$F$5:$F$9,"&gt;="&amp;G21,'C30规则'!$G$5:$G$9,"&lt;="&amp;H21,'C30规则'!$H$5:$H$9,"&gt;="&amp;H21,'C30规则'!$I$5:$I$9,"&lt;="&amp;I21,'C30规则'!$J$5:$J$9,"&gt;="&amp;I21,'C30规则'!$K$5:$K$9,"&lt;="&amp;J21,'C30规则'!$L$5:$L$9,"&gt;="&amp;J21)=1,"通过","检查")</x:f>
        <x:v>通过</x:v>
      </x:c>
      <x:c r="O21" s="29" t="str">
        <x:v>RULE_DERIVED</x:v>
      </x:c>
    </x:row>
    <x:row r="22">
      <x:c r="A22" s="29" t="str">
        <x:v>C30-20260730-008</x:v>
      </x:c>
      <x:c r="B22" s="32" t="n">
        <x:v>46233.56736111111</x:v>
      </x:c>
      <x:c r="C22" s="29" t="str">
        <x:v>C30</x:v>
      </x:c>
      <x:c r="D22" s="29" t="str">
        <x:v>DRY_SEVERE</x:v>
      </x:c>
      <x:c r="E22" s="35" t="n">
        <x:v>78.1</x:v>
      </x:c>
      <x:c r="F22" s="41" t="str">
        <x:v>干涩，结块，挂壁，流动性极差，无法泵送</x:v>
      </x:c>
      <x:c r="G22" s="38" t="n">
        <x:v>-55</x:v>
      </x:c>
      <x:c r="H22" s="38" t="n">
        <x:v>125</x:v>
      </x:c>
      <x:c r="I22" s="38" t="n">
        <x:v>455</x:v>
      </x:c>
      <x:c r="J22" s="35" t="n">
        <x:v>6.8</x:v>
      </x:c>
      <x:c r="K22" s="29" t="str">
        <x:v>不合格</x:v>
      </x:c>
      <x:c r="L22" s="41" t="str">
        <x:v>优先补加0.2%减水剂和5kg清水，搅拌60s后复测。</x:v>
      </x:c>
      <x:c r="M22" s="29" t="str">
        <x:v>是</x:v>
      </x:c>
      <x:c r="N22" s="29" t="str">
        <x:f>IF(COUNTIFS('C30规则'!$A$5:$A$9,D22,'C30规则'!$C$5:$C$9,"&lt;="&amp;E22,'C30规则'!$D$5:$D$9,"&gt;="&amp;E22,'C30规则'!$E$5:$E$9,"&lt;="&amp;G22,'C30规则'!$F$5:$F$9,"&gt;="&amp;G22,'C30规则'!$G$5:$G$9,"&lt;="&amp;H22,'C30规则'!$H$5:$H$9,"&gt;="&amp;H22,'C30规则'!$I$5:$I$9,"&lt;="&amp;I22,'C30规则'!$J$5:$J$9,"&gt;="&amp;I22,'C30规则'!$K$5:$K$9,"&lt;="&amp;J22,'C30规则'!$L$5:$L$9,"&gt;="&amp;J22)=1,"通过","检查")</x:f>
        <x:v>通过</x:v>
      </x:c>
      <x:c r="O22" s="29" t="str">
        <x:v>RULE_DERIVED</x:v>
      </x:c>
    </x:row>
    <x:row r="23">
      <x:c r="A23" s="29" t="str">
        <x:v>C30-20260730-009</x:v>
      </x:c>
      <x:c r="B23" s="32" t="n">
        <x:v>46233.60138888889</x:v>
      </x:c>
      <x:c r="C23" s="29" t="str">
        <x:v>C30</x:v>
      </x:c>
      <x:c r="D23" s="29" t="str">
        <x:v>WET_MILD</x:v>
      </x:c>
      <x:c r="E23" s="35" t="n">
        <x:v>50</x:v>
      </x:c>
      <x:c r="F23" s="41" t="str">
        <x:v>偏稀，流动性偏大，无泌水</x:v>
      </x:c>
      <x:c r="G23" s="38" t="n">
        <x:v>23</x:v>
      </x:c>
      <x:c r="H23" s="38" t="n">
        <x:v>203</x:v>
      </x:c>
      <x:c r="I23" s="38" t="n">
        <x:v>589</x:v>
      </x:c>
      <x:c r="J23" s="35" t="n">
        <x:v>2.2</x:v>
      </x:c>
      <x:c r="K23" s="29" t="str">
        <x:v>轻微异常</x:v>
      </x:c>
      <x:c r="L23" s="41" t="str">
        <x:v>加入5–8kg/m³干砂，搅拌30s后复测，达标后正常出料并观察泵送。</x:v>
      </x:c>
      <x:c r="M23" s="29" t="str">
        <x:v>是</x:v>
      </x:c>
      <x:c r="N23" s="29" t="str">
        <x:f>IF(COUNTIFS('C30规则'!$A$5:$A$9,D23,'C30规则'!$C$5:$C$9,"&lt;="&amp;E23,'C30规则'!$D$5:$D$9,"&gt;="&amp;E23,'C30规则'!$E$5:$E$9,"&lt;="&amp;G23,'C30规则'!$F$5:$F$9,"&gt;="&amp;G23,'C30规则'!$G$5:$G$9,"&lt;="&amp;H23,'C30规则'!$H$5:$H$9,"&gt;="&amp;H23,'C30规则'!$I$5:$I$9,"&lt;="&amp;I23,'C30规则'!$J$5:$J$9,"&gt;="&amp;I23,'C30规则'!$K$5:$K$9,"&lt;="&amp;J23,'C30规则'!$L$5:$L$9,"&gt;="&amp;J23)=1,"通过","检查")</x:f>
        <x:v>通过</x:v>
      </x:c>
      <x:c r="O23" s="29" t="str">
        <x:v>RULE_DERIVED</x:v>
      </x:c>
    </x:row>
    <x:row r="24">
      <x:c r="A24" s="29" t="str">
        <x:v>C30-20260730-010</x:v>
      </x:c>
      <x:c r="B24" s="32" t="n">
        <x:v>46233.635416666664</x:v>
      </x:c>
      <x:c r="C24" s="29" t="str">
        <x:v>C30</x:v>
      </x:c>
      <x:c r="D24" s="29" t="str">
        <x:v>DRY_MILD</x:v>
      </x:c>
      <x:c r="E24" s="35" t="n">
        <x:v>61.6</x:v>
      </x:c>
      <x:c r="F24" s="41" t="str">
        <x:v>偏干，骨料微裸露，流动性偏弱</x:v>
      </x:c>
      <x:c r="G24" s="38" t="n">
        <x:v>-23</x:v>
      </x:c>
      <x:c r="H24" s="38" t="n">
        <x:v>157</x:v>
      </x:c>
      <x:c r="I24" s="38" t="n">
        <x:v>513</x:v>
      </x:c>
      <x:c r="J24" s="35" t="n">
        <x:v>4.7</x:v>
      </x:c>
      <x:c r="K24" s="29" t="str">
        <x:v>轻微异常</x:v>
      </x:c>
      <x:c r="L24" s="41" t="str">
        <x:v>优先增加聚羧酸减水剂掺量0.1%，搅拌30s后复测，达标后出料。</x:v>
      </x:c>
      <x:c r="M24" s="29" t="str">
        <x:v>是</x:v>
      </x:c>
      <x:c r="N24" s="29" t="str">
        <x:f>IF(COUNTIFS('C30规则'!$A$5:$A$9,D24,'C30规则'!$C$5:$C$9,"&lt;="&amp;E24,'C30规则'!$D$5:$D$9,"&gt;="&amp;E24,'C30规则'!$E$5:$E$9,"&lt;="&amp;G24,'C30规则'!$F$5:$F$9,"&gt;="&amp;G24,'C30规则'!$G$5:$G$9,"&lt;="&amp;H24,'C30规则'!$H$5:$H$9,"&gt;="&amp;H24,'C30规则'!$I$5:$I$9,"&lt;="&amp;I24,'C30规则'!$J$5:$J$9,"&gt;="&amp;I24,'C30规则'!$K$5:$K$9,"&lt;="&amp;J24,'C30规则'!$L$5:$L$9,"&gt;="&amp;J24)=1,"通过","检查")</x:f>
        <x:v>通过</x:v>
      </x:c>
      <x:c r="O24" s="29" t="str">
        <x:v>RULE_DERIVED</x:v>
      </x:c>
    </x:row>
    <x:row r="25">
      <x:c r="A25" s="29" t="str">
        <x:v>C30-20260731-001</x:v>
      </x:c>
      <x:c r="B25" s="32" t="n">
        <x:v>46234.334027777775</x:v>
      </x:c>
      <x:c r="C25" s="29" t="str">
        <x:v>C30</x:v>
      </x:c>
      <x:c r="D25" s="29" t="str">
        <x:v>NORMAL</x:v>
      </x:c>
      <x:c r="E25" s="35" t="n">
        <x:v>59.1</x:v>
      </x:c>
      <x:c r="F25" s="41" t="str">
        <x:v>稠度适中，包裹性好，不泌水，不结块，泵送顺畅</x:v>
      </x:c>
      <x:c r="G25" s="38" t="n">
        <x:v>-10</x:v>
      </x:c>
      <x:c r="H25" s="38" t="n">
        <x:v>170</x:v>
      </x:c>
      <x:c r="I25" s="38" t="n">
        <x:v>542</x:v>
      </x:c>
      <x:c r="J25" s="35" t="n">
        <x:v>4.2</x:v>
      </x:c>
      <x:c r="K25" s="29" t="str">
        <x:v>合格</x:v>
      </x:c>
      <x:c r="L25" s="41" t="str">
        <x:v>终止搅拌，直接出料；同步记录台账，留存实测参数备查。</x:v>
      </x:c>
      <x:c r="M25" s="29" t="str">
        <x:v>否</x:v>
      </x:c>
      <x:c r="N25" s="29" t="str">
        <x:f>IF(COUNTIFS('C30规则'!$A$5:$A$9,D25,'C30规则'!$C$5:$C$9,"&lt;="&amp;E25,'C30规则'!$D$5:$D$9,"&gt;="&amp;E25,'C30规则'!$E$5:$E$9,"&lt;="&amp;G25,'C30规则'!$F$5:$F$9,"&gt;="&amp;G25,'C30规则'!$G$5:$G$9,"&lt;="&amp;H25,'C30规则'!$H$5:$H$9,"&gt;="&amp;H25,'C30规则'!$I$5:$I$9,"&lt;="&amp;I25,'C30规则'!$J$5:$J$9,"&gt;="&amp;I25,'C30规则'!$K$5:$K$9,"&lt;="&amp;J25,'C30规则'!$L$5:$L$9,"&gt;="&amp;J25)=1,"通过","检查")</x:f>
        <x:v>通过</x:v>
      </x:c>
      <x:c r="O25" s="29" t="str">
        <x:v>RULE_DERIVED</x:v>
      </x:c>
    </x:row>
    <x:row r="26">
      <x:c r="A26" s="29" t="str">
        <x:v>C30-20260731-002</x:v>
      </x:c>
      <x:c r="B26" s="32" t="n">
        <x:v>46234.36944444444</x:v>
      </x:c>
      <x:c r="C26" s="29" t="str">
        <x:v>C30</x:v>
      </x:c>
      <x:c r="D26" s="29" t="str">
        <x:v>NORMAL</x:v>
      </x:c>
      <x:c r="E26" s="35" t="n">
        <x:v>55.2</x:v>
      </x:c>
      <x:c r="F26" s="41" t="str">
        <x:v>稠度适中，包裹性好，不泌水，不结块，泵送顺畅</x:v>
      </x:c>
      <x:c r="G26" s="38" t="n">
        <x:v>16</x:v>
      </x:c>
      <x:c r="H26" s="38" t="n">
        <x:v>196</x:v>
      </x:c>
      <x:c r="I26" s="38" t="n">
        <x:v>568</x:v>
      </x:c>
      <x:c r="J26" s="35" t="n">
        <x:v>2.7</x:v>
      </x:c>
      <x:c r="K26" s="29" t="str">
        <x:v>合格</x:v>
      </x:c>
      <x:c r="L26" s="41" t="str">
        <x:v>终止搅拌，直接出料；同步记录台账，留存实测参数备查。</x:v>
      </x:c>
      <x:c r="M26" s="29" t="str">
        <x:v>否</x:v>
      </x:c>
      <x:c r="N26" s="29" t="str">
        <x:f>IF(COUNTIFS('C30规则'!$A$5:$A$9,D26,'C30规则'!$C$5:$C$9,"&lt;="&amp;E26,'C30规则'!$D$5:$D$9,"&gt;="&amp;E26,'C30规则'!$E$5:$E$9,"&lt;="&amp;G26,'C30规则'!$F$5:$F$9,"&gt;="&amp;G26,'C30规则'!$G$5:$G$9,"&lt;="&amp;H26,'C30规则'!$H$5:$H$9,"&gt;="&amp;H26,'C30规则'!$I$5:$I$9,"&lt;="&amp;I26,'C30规则'!$J$5:$J$9,"&gt;="&amp;I26,'C30规则'!$K$5:$K$9,"&lt;="&amp;J26,'C30规则'!$L$5:$L$9,"&gt;="&amp;J26)=1,"通过","检查")</x:f>
        <x:v>通过</x:v>
      </x:c>
      <x:c r="O26" s="29" t="str">
        <x:v>RULE_DERIVED</x:v>
      </x:c>
    </x:row>
    <x:row r="27">
      <x:c r="A27" s="29" t="str">
        <x:v>C30-20260731-003</x:v>
      </x:c>
      <x:c r="B27" s="32" t="n">
        <x:v>46234.40416666667</x:v>
      </x:c>
      <x:c r="C27" s="29" t="str">
        <x:v>C30</x:v>
      </x:c>
      <x:c r="D27" s="29" t="str">
        <x:v>NORMAL</x:v>
      </x:c>
      <x:c r="E27" s="35" t="n">
        <x:v>55.8</x:v>
      </x:c>
      <x:c r="F27" s="41" t="str">
        <x:v>稠度适中，包裹性好，不泌水，不结块，泵送顺畅</x:v>
      </x:c>
      <x:c r="G27" s="38" t="n">
        <x:v>13</x:v>
      </x:c>
      <x:c r="H27" s="38" t="n">
        <x:v>193</x:v>
      </x:c>
      <x:c r="I27" s="38" t="n">
        <x:v>560</x:v>
      </x:c>
      <x:c r="J27" s="35" t="n">
        <x:v>2.9</x:v>
      </x:c>
      <x:c r="K27" s="29" t="str">
        <x:v>合格</x:v>
      </x:c>
      <x:c r="L27" s="41" t="str">
        <x:v>终止搅拌，直接出料；同步记录台账，留存实测参数备查。</x:v>
      </x:c>
      <x:c r="M27" s="29" t="str">
        <x:v>否</x:v>
      </x:c>
      <x:c r="N27" s="29" t="str">
        <x:f>IF(COUNTIFS('C30规则'!$A$5:$A$9,D27,'C30规则'!$C$5:$C$9,"&lt;="&amp;E27,'C30规则'!$D$5:$D$9,"&gt;="&amp;E27,'C30规则'!$E$5:$E$9,"&lt;="&amp;G27,'C30规则'!$F$5:$F$9,"&gt;="&amp;G27,'C30规则'!$G$5:$G$9,"&lt;="&amp;H27,'C30规则'!$H$5:$H$9,"&gt;="&amp;H27,'C30规则'!$I$5:$I$9,"&lt;="&amp;I27,'C30规则'!$J$5:$J$9,"&gt;="&amp;I27,'C30规则'!$K$5:$K$9,"&lt;="&amp;J27,'C30规则'!$L$5:$L$9,"&gt;="&amp;J27)=1,"通过","检查")</x:f>
        <x:v>通过</x:v>
      </x:c>
      <x:c r="O27" s="29" t="str">
        <x:v>RULE_DERIVED</x:v>
      </x:c>
    </x:row>
    <x:row r="28">
      <x:c r="A28" s="29" t="str">
        <x:v>C30-20260731-004</x:v>
      </x:c>
      <x:c r="B28" s="32" t="n">
        <x:v>46234.436111111114</x:v>
      </x:c>
      <x:c r="C28" s="29" t="str">
        <x:v>C30</x:v>
      </x:c>
      <x:c r="D28" s="29" t="str">
        <x:v>NORMAL</x:v>
      </x:c>
      <x:c r="E28" s="35" t="n">
        <x:v>56.9</x:v>
      </x:c>
      <x:c r="F28" s="41" t="str">
        <x:v>稠度适中，包裹性好，不泌水，不结块，泵送顺畅</x:v>
      </x:c>
      <x:c r="G28" s="38" t="n">
        <x:v>6</x:v>
      </x:c>
      <x:c r="H28" s="38" t="n">
        <x:v>186</x:v>
      </x:c>
      <x:c r="I28" s="38" t="n">
        <x:v>550</x:v>
      </x:c>
      <x:c r="J28" s="35" t="n">
        <x:v>3.1</x:v>
      </x:c>
      <x:c r="K28" s="29" t="str">
        <x:v>合格</x:v>
      </x:c>
      <x:c r="L28" s="41" t="str">
        <x:v>终止搅拌，直接出料；同步记录台账，留存实测参数备查。</x:v>
      </x:c>
      <x:c r="M28" s="29" t="str">
        <x:v>否</x:v>
      </x:c>
      <x:c r="N28" s="29" t="str">
        <x:f>IF(COUNTIFS('C30规则'!$A$5:$A$9,D28,'C30规则'!$C$5:$C$9,"&lt;="&amp;E28,'C30规则'!$D$5:$D$9,"&gt;="&amp;E28,'C30规则'!$E$5:$E$9,"&lt;="&amp;G28,'C30规则'!$F$5:$F$9,"&gt;="&amp;G28,'C30规则'!$G$5:$G$9,"&lt;="&amp;H28,'C30规则'!$H$5:$H$9,"&gt;="&amp;H28,'C30规则'!$I$5:$I$9,"&lt;="&amp;I28,'C30规则'!$J$5:$J$9,"&gt;="&amp;I28,'C30规则'!$K$5:$K$9,"&lt;="&amp;J28,'C30规则'!$L$5:$L$9,"&gt;="&amp;J28)=1,"通过","检查")</x:f>
        <x:v>通过</x:v>
      </x:c>
      <x:c r="O28" s="29" t="str">
        <x:v>RULE_DERIVED</x:v>
      </x:c>
    </x:row>
    <x:row r="29">
      <x:c r="A29" s="29" t="str">
        <x:v>C30-20260731-005</x:v>
      </x:c>
      <x:c r="B29" s="32" t="n">
        <x:v>46234.46875</x:v>
      </x:c>
      <x:c r="C29" s="29" t="str">
        <x:v>C30</x:v>
      </x:c>
      <x:c r="D29" s="29" t="str">
        <x:v>NORMAL</x:v>
      </x:c>
      <x:c r="E29" s="35" t="n">
        <x:v>56</x:v>
      </x:c>
      <x:c r="F29" s="41" t="str">
        <x:v>稠度适中，包裹性好，不泌水，不结块，泵送顺畅</x:v>
      </x:c>
      <x:c r="G29" s="38" t="n">
        <x:v>12</x:v>
      </x:c>
      <x:c r="H29" s="38" t="n">
        <x:v>192</x:v>
      </x:c>
      <x:c r="I29" s="38" t="n">
        <x:v>558</x:v>
      </x:c>
      <x:c r="J29" s="35" t="n">
        <x:v>2.8</x:v>
      </x:c>
      <x:c r="K29" s="29" t="str">
        <x:v>合格</x:v>
      </x:c>
      <x:c r="L29" s="41" t="str">
        <x:v>终止搅拌，直接出料；同步记录台账，留存实测参数备查。</x:v>
      </x:c>
      <x:c r="M29" s="29" t="str">
        <x:v>否</x:v>
      </x:c>
      <x:c r="N29" s="29" t="str">
        <x:f>IF(COUNTIFS('C30规则'!$A$5:$A$9,D29,'C30规则'!$C$5:$C$9,"&lt;="&amp;E29,'C30规则'!$D$5:$D$9,"&gt;="&amp;E29,'C30规则'!$E$5:$E$9,"&lt;="&amp;G29,'C30规则'!$F$5:$F$9,"&gt;="&amp;G29,'C30规则'!$G$5:$G$9,"&lt;="&amp;H29,'C30规则'!$H$5:$H$9,"&gt;="&amp;H29,'C30规则'!$I$5:$I$9,"&lt;="&amp;I29,'C30规则'!$J$5:$J$9,"&gt;="&amp;I29,'C30规则'!$K$5:$K$9,"&lt;="&amp;J29,'C30规则'!$L$5:$L$9,"&gt;="&amp;J29)=1,"通过","检查")</x:f>
        <x:v>通过</x:v>
      </x:c>
      <x:c r="O29" s="29" t="str">
        <x:v>RULE_DERIVED</x:v>
      </x:c>
    </x:row>
    <x:row r="30">
      <x:c r="A30" s="29" t="str">
        <x:v>C30-20260731-006</x:v>
      </x:c>
      <x:c r="B30" s="32" t="n">
        <x:v>46234.50277777778</x:v>
      </x:c>
      <x:c r="C30" s="29" t="str">
        <x:v>C30</x:v>
      </x:c>
      <x:c r="D30" s="29" t="str">
        <x:v>WET_MILD</x:v>
      </x:c>
      <x:c r="E30" s="35" t="n">
        <x:v>52.5</x:v>
      </x:c>
      <x:c r="F30" s="41" t="str">
        <x:v>偏稀，流动性偏大，无泌水</x:v>
      </x:c>
      <x:c r="G30" s="38" t="n">
        <x:v>23</x:v>
      </x:c>
      <x:c r="H30" s="38" t="n">
        <x:v>203</x:v>
      </x:c>
      <x:c r="I30" s="38" t="n">
        <x:v>588</x:v>
      </x:c>
      <x:c r="J30" s="35" t="n">
        <x:v>2.3</x:v>
      </x:c>
      <x:c r="K30" s="29" t="str">
        <x:v>轻微异常</x:v>
      </x:c>
      <x:c r="L30" s="41" t="str">
        <x:v>加入5–8kg/m³干砂，搅拌30s后复测，达标后正常出料并观察泵送。</x:v>
      </x:c>
      <x:c r="M30" s="29" t="str">
        <x:v>是</x:v>
      </x:c>
      <x:c r="N30" s="29" t="str">
        <x:f>IF(COUNTIFS('C30规则'!$A$5:$A$9,D30,'C30规则'!$C$5:$C$9,"&lt;="&amp;E30,'C30规则'!$D$5:$D$9,"&gt;="&amp;E30,'C30规则'!$E$5:$E$9,"&lt;="&amp;G30,'C30规则'!$F$5:$F$9,"&gt;="&amp;G30,'C30规则'!$G$5:$G$9,"&lt;="&amp;H30,'C30规则'!$H$5:$H$9,"&gt;="&amp;H30,'C30规则'!$I$5:$I$9,"&lt;="&amp;I30,'C30规则'!$J$5:$J$9,"&gt;="&amp;I30,'C30规则'!$K$5:$K$9,"&lt;="&amp;J30,'C30规则'!$L$5:$L$9,"&gt;="&amp;J30)=1,"通过","检查")</x:f>
        <x:v>通过</x:v>
      </x:c>
      <x:c r="O30" s="29" t="str">
        <x:v>RULE_DERIVED</x:v>
      </x:c>
    </x:row>
    <x:row r="31">
      <x:c r="A31" s="29" t="str">
        <x:v>C30-20260731-007</x:v>
      </x:c>
      <x:c r="B31" s="32" t="n">
        <x:v>46234.53611111111</x:v>
      </x:c>
      <x:c r="C31" s="29" t="str">
        <x:v>C30</x:v>
      </x:c>
      <x:c r="D31" s="29" t="str">
        <x:v>NORMAL</x:v>
      </x:c>
      <x:c r="E31" s="35" t="n">
        <x:v>57.4</x:v>
      </x:c>
      <x:c r="F31" s="41" t="str">
        <x:v>稠度适中，包裹性好，不泌水，不结块，泵送顺畅</x:v>
      </x:c>
      <x:c r="G31" s="38" t="n">
        <x:v>-2</x:v>
      </x:c>
      <x:c r="H31" s="38" t="n">
        <x:v>178</x:v>
      </x:c>
      <x:c r="I31" s="38" t="n">
        <x:v>555</x:v>
      </x:c>
      <x:c r="J31" s="35" t="n">
        <x:v>3.4</x:v>
      </x:c>
      <x:c r="K31" s="29" t="str">
        <x:v>合格</x:v>
      </x:c>
      <x:c r="L31" s="41" t="str">
        <x:v>终止搅拌，直接出料；同步记录台账，留存实测参数备查。</x:v>
      </x:c>
      <x:c r="M31" s="29" t="str">
        <x:v>否</x:v>
      </x:c>
      <x:c r="N31" s="29" t="str">
        <x:f>IF(COUNTIFS('C30规则'!$A$5:$A$9,D31,'C30规则'!$C$5:$C$9,"&lt;="&amp;E31,'C30规则'!$D$5:$D$9,"&gt;="&amp;E31,'C30规则'!$E$5:$E$9,"&lt;="&amp;G31,'C30规则'!$F$5:$F$9,"&gt;="&amp;G31,'C30规则'!$G$5:$G$9,"&lt;="&amp;H31,'C30规则'!$H$5:$H$9,"&gt;="&amp;H31,'C30规则'!$I$5:$I$9,"&lt;="&amp;I31,'C30规则'!$J$5:$J$9,"&gt;="&amp;I31,'C30规则'!$K$5:$K$9,"&lt;="&amp;J31,'C30规则'!$L$5:$L$9,"&gt;="&amp;J31)=1,"通过","检查")</x:f>
        <x:v>通过</x:v>
      </x:c>
      <x:c r="O31" s="29" t="str">
        <x:v>RULE_DERIVED</x:v>
      </x:c>
    </x:row>
    <x:row r="32">
      <x:c r="A32" s="29" t="str">
        <x:v>C30-20260731-008</x:v>
      </x:c>
      <x:c r="B32" s="32" t="n">
        <x:v>46234.566666666666</x:v>
      </x:c>
      <x:c r="C32" s="29" t="str">
        <x:v>C30</x:v>
      </x:c>
      <x:c r="D32" s="29" t="str">
        <x:v>NORMAL</x:v>
      </x:c>
      <x:c r="E32" s="35" t="n">
        <x:v>58.7</x:v>
      </x:c>
      <x:c r="F32" s="41" t="str">
        <x:v>稠度适中，包裹性好，不泌水，不结块，泵送顺畅</x:v>
      </x:c>
      <x:c r="G32" s="38" t="n">
        <x:v>-6</x:v>
      </x:c>
      <x:c r="H32" s="38" t="n">
        <x:v>174</x:v>
      </x:c>
      <x:c r="I32" s="38" t="n">
        <x:v>545</x:v>
      </x:c>
      <x:c r="J32" s="35" t="n">
        <x:v>3.9</x:v>
      </x:c>
      <x:c r="K32" s="29" t="str">
        <x:v>合格</x:v>
      </x:c>
      <x:c r="L32" s="41" t="str">
        <x:v>终止搅拌，直接出料；同步记录台账，留存实测参数备查。</x:v>
      </x:c>
      <x:c r="M32" s="29" t="str">
        <x:v>否</x:v>
      </x:c>
      <x:c r="N32" s="29" t="str">
        <x:f>IF(COUNTIFS('C30规则'!$A$5:$A$9,D32,'C30规则'!$C$5:$C$9,"&lt;="&amp;E32,'C30规则'!$D$5:$D$9,"&gt;="&amp;E32,'C30规则'!$E$5:$E$9,"&lt;="&amp;G32,'C30规则'!$F$5:$F$9,"&gt;="&amp;G32,'C30规则'!$G$5:$G$9,"&lt;="&amp;H32,'C30规则'!$H$5:$H$9,"&gt;="&amp;H32,'C30规则'!$I$5:$I$9,"&lt;="&amp;I32,'C30规则'!$J$5:$J$9,"&gt;="&amp;I32,'C30规则'!$K$5:$K$9,"&lt;="&amp;J32,'C30规则'!$L$5:$L$9,"&gt;="&amp;J32)=1,"通过","检查")</x:f>
        <x:v>通过</x:v>
      </x:c>
      <x:c r="O32" s="29" t="str">
        <x:v>RULE_DERIVED</x:v>
      </x:c>
    </x:row>
    <x:row r="33">
      <x:c r="A33" s="29" t="str">
        <x:v>C30-20260731-009</x:v>
      </x:c>
      <x:c r="B33" s="32" t="n">
        <x:v>46234.6</x:v>
      </x:c>
      <x:c r="C33" s="29" t="str">
        <x:v>C30</x:v>
      </x:c>
      <x:c r="D33" s="29" t="str">
        <x:v>NORMAL</x:v>
      </x:c>
      <x:c r="E33" s="35" t="n">
        <x:v>56.4</x:v>
      </x:c>
      <x:c r="F33" s="41" t="str">
        <x:v>稠度适中，包裹性好，不泌水，不结块，泵送顺畅</x:v>
      </x:c>
      <x:c r="G33" s="38" t="n">
        <x:v>12</x:v>
      </x:c>
      <x:c r="H33" s="38" t="n">
        <x:v>192</x:v>
      </x:c>
      <x:c r="I33" s="38" t="n">
        <x:v>559</x:v>
      </x:c>
      <x:c r="J33" s="35" t="n">
        <x:v>3.1</x:v>
      </x:c>
      <x:c r="K33" s="29" t="str">
        <x:v>合格</x:v>
      </x:c>
      <x:c r="L33" s="41" t="str">
        <x:v>终止搅拌，直接出料；同步记录台账，留存实测参数备查。</x:v>
      </x:c>
      <x:c r="M33" s="29" t="str">
        <x:v>否</x:v>
      </x:c>
      <x:c r="N33" s="29" t="str">
        <x:f>IF(COUNTIFS('C30规则'!$A$5:$A$9,D33,'C30规则'!$C$5:$C$9,"&lt;="&amp;E33,'C30规则'!$D$5:$D$9,"&gt;="&amp;E33,'C30规则'!$E$5:$E$9,"&lt;="&amp;G33,'C30规则'!$F$5:$F$9,"&gt;="&amp;G33,'C30规则'!$G$5:$G$9,"&lt;="&amp;H33,'C30规则'!$H$5:$H$9,"&gt;="&amp;H33,'C30规则'!$I$5:$I$9,"&lt;="&amp;I33,'C30规则'!$J$5:$J$9,"&gt;="&amp;I33,'C30规则'!$K$5:$K$9,"&lt;="&amp;J33,'C30规则'!$L$5:$L$9,"&gt;="&amp;J33)=1,"通过","检查")</x:f>
        <x:v>通过</x:v>
      </x:c>
      <x:c r="O33" s="29" t="str">
        <x:v>RULE_DERIVED</x:v>
      </x:c>
    </x:row>
    <x:row r="34">
      <x:c r="A34" s="29" t="str">
        <x:v>C30-20260731-010</x:v>
      </x:c>
      <x:c r="B34" s="32" t="n">
        <x:v>46234.63402777778</x:v>
      </x:c>
      <x:c r="C34" s="29" t="str">
        <x:v>C30</x:v>
      </x:c>
      <x:c r="D34" s="29" t="str">
        <x:v>NORMAL</x:v>
      </x:c>
      <x:c r="E34" s="35" t="n">
        <x:v>56.4</x:v>
      </x:c>
      <x:c r="F34" s="41" t="str">
        <x:v>稠度适中，包裹性好，不泌水，不结块，泵送顺畅</x:v>
      </x:c>
      <x:c r="G34" s="38" t="n">
        <x:v>10</x:v>
      </x:c>
      <x:c r="H34" s="38" t="n">
        <x:v>190</x:v>
      </x:c>
      <x:c r="I34" s="38" t="n">
        <x:v>565</x:v>
      </x:c>
      <x:c r="J34" s="35" t="n">
        <x:v>3.1</x:v>
      </x:c>
      <x:c r="K34" s="29" t="str">
        <x:v>合格</x:v>
      </x:c>
      <x:c r="L34" s="41" t="str">
        <x:v>终止搅拌，直接出料；同步记录台账，留存实测参数备查。</x:v>
      </x:c>
      <x:c r="M34" s="29" t="str">
        <x:v>否</x:v>
      </x:c>
      <x:c r="N34" s="29" t="str">
        <x:f>IF(COUNTIFS('C30规则'!$A$5:$A$9,D34,'C30规则'!$C$5:$C$9,"&lt;="&amp;E34,'C30规则'!$D$5:$D$9,"&gt;="&amp;E34,'C30规则'!$E$5:$E$9,"&lt;="&amp;G34,'C30规则'!$F$5:$F$9,"&gt;="&amp;G34,'C30规则'!$G$5:$G$9,"&lt;="&amp;H34,'C30规则'!$H$5:$H$9,"&gt;="&amp;H34,'C30规则'!$I$5:$I$9,"&lt;="&amp;I34,'C30规则'!$J$5:$J$9,"&gt;="&amp;I34,'C30规则'!$K$5:$K$9,"&lt;="&amp;J34,'C30规则'!$L$5:$L$9,"&gt;="&amp;J34)=1,"通过","检查")</x:f>
        <x:v>通过</x:v>
      </x:c>
      <x:c r="O34" s="29" t="str">
        <x:v>RULE_DERIVED</x:v>
      </x:c>
    </x:row>
    <x:row r="35">
      <x:c r="A35" s="29" t="str">
        <x:v>C30-20260801-001</x:v>
      </x:c>
      <x:c r="B35" s="32" t="n">
        <x:v>46235.3375</x:v>
      </x:c>
      <x:c r="C35" s="29" t="str">
        <x:v>C30</x:v>
      </x:c>
      <x:c r="D35" s="29" t="str">
        <x:v>NORMAL</x:v>
      </x:c>
      <x:c r="E35" s="35" t="n">
        <x:v>55.3</x:v>
      </x:c>
      <x:c r="F35" s="41" t="str">
        <x:v>稠度适中，包裹性好，不泌水，不结块，泵送顺畅</x:v>
      </x:c>
      <x:c r="G35" s="38" t="n">
        <x:v>19</x:v>
      </x:c>
      <x:c r="H35" s="38" t="n">
        <x:v>199</x:v>
      </x:c>
      <x:c r="I35" s="38" t="n">
        <x:v>564</x:v>
      </x:c>
      <x:c r="J35" s="35" t="n">
        <x:v>2.7</x:v>
      </x:c>
      <x:c r="K35" s="29" t="str">
        <x:v>合格</x:v>
      </x:c>
      <x:c r="L35" s="41" t="str">
        <x:v>终止搅拌，直接出料；同步记录台账，留存实测参数备查。</x:v>
      </x:c>
      <x:c r="M35" s="29" t="str">
        <x:v>否</x:v>
      </x:c>
      <x:c r="N35" s="29" t="str">
        <x:f>IF(COUNTIFS('C30规则'!$A$5:$A$9,D35,'C30规则'!$C$5:$C$9,"&lt;="&amp;E35,'C30规则'!$D$5:$D$9,"&gt;="&amp;E35,'C30规则'!$E$5:$E$9,"&lt;="&amp;G35,'C30规则'!$F$5:$F$9,"&gt;="&amp;G35,'C30规则'!$G$5:$G$9,"&lt;="&amp;H35,'C30规则'!$H$5:$H$9,"&gt;="&amp;H35,'C30规则'!$I$5:$I$9,"&lt;="&amp;I35,'C30规则'!$J$5:$J$9,"&gt;="&amp;I35,'C30规则'!$K$5:$K$9,"&lt;="&amp;J35,'C30规则'!$L$5:$L$9,"&gt;="&amp;J35)=1,"通过","检查")</x:f>
        <x:v>通过</x:v>
      </x:c>
      <x:c r="O35" s="29" t="str">
        <x:v>RULE_DERIVED</x:v>
      </x:c>
    </x:row>
    <x:row r="36">
      <x:c r="A36" s="29" t="str">
        <x:v>C30-20260801-002</x:v>
      </x:c>
      <x:c r="B36" s="32" t="n">
        <x:v>46235.37013888889</x:v>
      </x:c>
      <x:c r="C36" s="29" t="str">
        <x:v>C30</x:v>
      </x:c>
      <x:c r="D36" s="29" t="str">
        <x:v>NORMAL</x:v>
      </x:c>
      <x:c r="E36" s="35" t="n">
        <x:v>59</x:v>
      </x:c>
      <x:c r="F36" s="41" t="str">
        <x:v>稠度适中，包裹性好，不泌水，不结块，泵送顺畅</x:v>
      </x:c>
      <x:c r="G36" s="38" t="n">
        <x:v>-11</x:v>
      </x:c>
      <x:c r="H36" s="38" t="n">
        <x:v>169</x:v>
      </x:c>
      <x:c r="I36" s="38" t="n">
        <x:v>532</x:v>
      </x:c>
      <x:c r="J36" s="35" t="n">
        <x:v>4</x:v>
      </x:c>
      <x:c r="K36" s="29" t="str">
        <x:v>合格</x:v>
      </x:c>
      <x:c r="L36" s="41" t="str">
        <x:v>终止搅拌，直接出料；同步记录台账，留存实测参数备查。</x:v>
      </x:c>
      <x:c r="M36" s="29" t="str">
        <x:v>否</x:v>
      </x:c>
      <x:c r="N36" s="29" t="str">
        <x:f>IF(COUNTIFS('C30规则'!$A$5:$A$9,D36,'C30规则'!$C$5:$C$9,"&lt;="&amp;E36,'C30规则'!$D$5:$D$9,"&gt;="&amp;E36,'C30规则'!$E$5:$E$9,"&lt;="&amp;G36,'C30规则'!$F$5:$F$9,"&gt;="&amp;G36,'C30规则'!$G$5:$G$9,"&lt;="&amp;H36,'C30规则'!$H$5:$H$9,"&gt;="&amp;H36,'C30规则'!$I$5:$I$9,"&lt;="&amp;I36,'C30规则'!$J$5:$J$9,"&gt;="&amp;I36,'C30规则'!$K$5:$K$9,"&lt;="&amp;J36,'C30规则'!$L$5:$L$9,"&gt;="&amp;J36)=1,"通过","检查")</x:f>
        <x:v>通过</x:v>
      </x:c>
      <x:c r="O36" s="29" t="str">
        <x:v>RULE_DERIVED</x:v>
      </x:c>
    </x:row>
    <x:row r="37">
      <x:c r="A37" s="29" t="str">
        <x:v>C30-20260801-003</x:v>
      </x:c>
      <x:c r="B37" s="32" t="n">
        <x:v>46235.4</x:v>
      </x:c>
      <x:c r="C37" s="29" t="str">
        <x:v>C30</x:v>
      </x:c>
      <x:c r="D37" s="29" t="str">
        <x:v>DRY_MILD</x:v>
      </x:c>
      <x:c r="E37" s="35" t="n">
        <x:v>69.3</x:v>
      </x:c>
      <x:c r="F37" s="41" t="str">
        <x:v>偏干，骨料微裸露，流动性偏弱</x:v>
      </x:c>
      <x:c r="G37" s="38" t="n">
        <x:v>-29</x:v>
      </x:c>
      <x:c r="H37" s="38" t="n">
        <x:v>151</x:v>
      </x:c>
      <x:c r="I37" s="38" t="n">
        <x:v>500</x:v>
      </x:c>
      <x:c r="J37" s="35" t="n">
        <x:v>5.5</x:v>
      </x:c>
      <x:c r="K37" s="29" t="str">
        <x:v>轻微异常</x:v>
      </x:c>
      <x:c r="L37" s="41" t="str">
        <x:v>优先增加聚羧酸减水剂掺量0.1%，搅拌30s后复测，达标后出料。</x:v>
      </x:c>
      <x:c r="M37" s="29" t="str">
        <x:v>是</x:v>
      </x:c>
      <x:c r="N37" s="29" t="str">
        <x:f>IF(COUNTIFS('C30规则'!$A$5:$A$9,D37,'C30规则'!$C$5:$C$9,"&lt;="&amp;E37,'C30规则'!$D$5:$D$9,"&gt;="&amp;E37,'C30规则'!$E$5:$E$9,"&lt;="&amp;G37,'C30规则'!$F$5:$F$9,"&gt;="&amp;G37,'C30规则'!$G$5:$G$9,"&lt;="&amp;H37,'C30规则'!$H$5:$H$9,"&gt;="&amp;H37,'C30规则'!$I$5:$I$9,"&lt;="&amp;I37,'C30规则'!$J$5:$J$9,"&gt;="&amp;I37,'C30规则'!$K$5:$K$9,"&lt;="&amp;J37,'C30规则'!$L$5:$L$9,"&gt;="&amp;J37)=1,"通过","检查")</x:f>
        <x:v>通过</x:v>
      </x:c>
      <x:c r="O37" s="29" t="str">
        <x:v>RULE_DERIVED</x:v>
      </x:c>
    </x:row>
    <x:row r="38">
      <x:c r="A38" s="29" t="str">
        <x:v>C30-20260801-004</x:v>
      </x:c>
      <x:c r="B38" s="32" t="n">
        <x:v>46235.436111111114</x:v>
      </x:c>
      <x:c r="C38" s="29" t="str">
        <x:v>C30</x:v>
      </x:c>
      <x:c r="D38" s="29" t="str">
        <x:v>DRY_MILD</x:v>
      </x:c>
      <x:c r="E38" s="35" t="n">
        <x:v>68.5</x:v>
      </x:c>
      <x:c r="F38" s="41" t="str">
        <x:v>偏干，骨料微裸露，流动性偏弱</x:v>
      </x:c>
      <x:c r="G38" s="38" t="n">
        <x:v>-29</x:v>
      </x:c>
      <x:c r="H38" s="38" t="n">
        <x:v>151</x:v>
      </x:c>
      <x:c r="I38" s="38" t="n">
        <x:v>500</x:v>
      </x:c>
      <x:c r="J38" s="35" t="n">
        <x:v>5.5</x:v>
      </x:c>
      <x:c r="K38" s="29" t="str">
        <x:v>轻微异常</x:v>
      </x:c>
      <x:c r="L38" s="41" t="str">
        <x:v>优先增加聚羧酸减水剂掺量0.1%，搅拌30s后复测，达标后出料。</x:v>
      </x:c>
      <x:c r="M38" s="29" t="str">
        <x:v>是</x:v>
      </x:c>
      <x:c r="N38" s="29" t="str">
        <x:f>IF(COUNTIFS('C30规则'!$A$5:$A$9,D38,'C30规则'!$C$5:$C$9,"&lt;="&amp;E38,'C30规则'!$D$5:$D$9,"&gt;="&amp;E38,'C30规则'!$E$5:$E$9,"&lt;="&amp;G38,'C30规则'!$F$5:$F$9,"&gt;="&amp;G38,'C30规则'!$G$5:$G$9,"&lt;="&amp;H38,'C30规则'!$H$5:$H$9,"&gt;="&amp;H38,'C30规则'!$I$5:$I$9,"&lt;="&amp;I38,'C30规则'!$J$5:$J$9,"&gt;="&amp;I38,'C30规则'!$K$5:$K$9,"&lt;="&amp;J38,'C30规则'!$L$5:$L$9,"&gt;="&amp;J38)=1,"通过","检查")</x:f>
        <x:v>通过</x:v>
      </x:c>
      <x:c r="O38" s="29" t="str">
        <x:v>RULE_DERIVED</x:v>
      </x:c>
    </x:row>
    <x:row r="39">
      <x:c r="A39" s="29" t="str">
        <x:v>C30-20260801-005</x:v>
      </x:c>
      <x:c r="B39" s="32" t="n">
        <x:v>46235.47152777778</x:v>
      </x:c>
      <x:c r="C39" s="29" t="str">
        <x:v>C30</x:v>
      </x:c>
      <x:c r="D39" s="29" t="str">
        <x:v>NORMAL</x:v>
      </x:c>
      <x:c r="E39" s="35" t="n">
        <x:v>56.7</x:v>
      </x:c>
      <x:c r="F39" s="41" t="str">
        <x:v>稠度适中，包裹性好，不泌水，不结块，泵送顺畅</x:v>
      </x:c>
      <x:c r="G39" s="38" t="n">
        <x:v>5</x:v>
      </x:c>
      <x:c r="H39" s="38" t="n">
        <x:v>185</x:v>
      </x:c>
      <x:c r="I39" s="38" t="n">
        <x:v>556</x:v>
      </x:c>
      <x:c r="J39" s="35" t="n">
        <x:v>3.3</x:v>
      </x:c>
      <x:c r="K39" s="29" t="str">
        <x:v>合格</x:v>
      </x:c>
      <x:c r="L39" s="41" t="str">
        <x:v>终止搅拌，直接出料；同步记录台账，留存实测参数备查。</x:v>
      </x:c>
      <x:c r="M39" s="29" t="str">
        <x:v>否</x:v>
      </x:c>
      <x:c r="N39" s="29" t="str">
        <x:f>IF(COUNTIFS('C30规则'!$A$5:$A$9,D39,'C30规则'!$C$5:$C$9,"&lt;="&amp;E39,'C30规则'!$D$5:$D$9,"&gt;="&amp;E39,'C30规则'!$E$5:$E$9,"&lt;="&amp;G39,'C30规则'!$F$5:$F$9,"&gt;="&amp;G39,'C30规则'!$G$5:$G$9,"&lt;="&amp;H39,'C30规则'!$H$5:$H$9,"&gt;="&amp;H39,'C30规则'!$I$5:$I$9,"&lt;="&amp;I39,'C30规则'!$J$5:$J$9,"&gt;="&amp;I39,'C30规则'!$K$5:$K$9,"&lt;="&amp;J39,'C30规则'!$L$5:$L$9,"&gt;="&amp;J39)=1,"通过","检查")</x:f>
        <x:v>通过</x:v>
      </x:c>
      <x:c r="O39" s="29" t="str">
        <x:v>RULE_DERIVED</x:v>
      </x:c>
    </x:row>
    <x:row r="40">
      <x:c r="A40" s="29" t="str">
        <x:v>C30-20260801-006</x:v>
      </x:c>
      <x:c r="B40" s="32" t="n">
        <x:v>46235.50277777778</x:v>
      </x:c>
      <x:c r="C40" s="29" t="str">
        <x:v>C30</x:v>
      </x:c>
      <x:c r="D40" s="29" t="str">
        <x:v>NORMAL</x:v>
      </x:c>
      <x:c r="E40" s="35" t="n">
        <x:v>56.5</x:v>
      </x:c>
      <x:c r="F40" s="41" t="str">
        <x:v>稠度适中，包裹性好，不泌水，不结块，泵送顺畅</x:v>
      </x:c>
      <x:c r="G40" s="38" t="n">
        <x:v>5</x:v>
      </x:c>
      <x:c r="H40" s="38" t="n">
        <x:v>185</x:v>
      </x:c>
      <x:c r="I40" s="38" t="n">
        <x:v>558</x:v>
      </x:c>
      <x:c r="J40" s="35" t="n">
        <x:v>3</x:v>
      </x:c>
      <x:c r="K40" s="29" t="str">
        <x:v>合格</x:v>
      </x:c>
      <x:c r="L40" s="41" t="str">
        <x:v>终止搅拌，直接出料；同步记录台账，留存实测参数备查。</x:v>
      </x:c>
      <x:c r="M40" s="29" t="str">
        <x:v>否</x:v>
      </x:c>
      <x:c r="N40" s="29" t="str">
        <x:f>IF(COUNTIFS('C30规则'!$A$5:$A$9,D40,'C30规则'!$C$5:$C$9,"&lt;="&amp;E40,'C30规则'!$D$5:$D$9,"&gt;="&amp;E40,'C30规则'!$E$5:$E$9,"&lt;="&amp;G40,'C30规则'!$F$5:$F$9,"&gt;="&amp;G40,'C30规则'!$G$5:$G$9,"&lt;="&amp;H40,'C30规则'!$H$5:$H$9,"&gt;="&amp;H40,'C30规则'!$I$5:$I$9,"&lt;="&amp;I40,'C30规则'!$J$5:$J$9,"&gt;="&amp;I40,'C30规则'!$K$5:$K$9,"&lt;="&amp;J40,'C30规则'!$L$5:$L$9,"&gt;="&amp;J40)=1,"通过","检查")</x:f>
        <x:v>通过</x:v>
      </x:c>
      <x:c r="O40" s="29" t="str">
        <x:v>RULE_DERIVED</x:v>
      </x:c>
    </x:row>
    <x:row r="41">
      <x:c r="A41" s="29" t="str">
        <x:v>C30-20260801-007</x:v>
      </x:c>
      <x:c r="B41" s="32" t="n">
        <x:v>46235.53333333333</x:v>
      </x:c>
      <x:c r="C41" s="29" t="str">
        <x:v>C30</x:v>
      </x:c>
      <x:c r="D41" s="29" t="str">
        <x:v>WET_MILD</x:v>
      </x:c>
      <x:c r="E41" s="35" t="n">
        <x:v>47.6</x:v>
      </x:c>
      <x:c r="F41" s="41" t="str">
        <x:v>偏稀，流动性偏大，无泌水</x:v>
      </x:c>
      <x:c r="G41" s="38" t="n">
        <x:v>27</x:v>
      </x:c>
      <x:c r="H41" s="38" t="n">
        <x:v>207</x:v>
      </x:c>
      <x:c r="I41" s="38" t="n">
        <x:v>597</x:v>
      </x:c>
      <x:c r="J41" s="35" t="n">
        <x:v>1.8</x:v>
      </x:c>
      <x:c r="K41" s="29" t="str">
        <x:v>轻微异常</x:v>
      </x:c>
      <x:c r="L41" s="41" t="str">
        <x:v>加入5–8kg/m³干砂，搅拌30s后复测，达标后正常出料并观察泵送。</x:v>
      </x:c>
      <x:c r="M41" s="29" t="str">
        <x:v>是</x:v>
      </x:c>
      <x:c r="N41" s="29" t="str">
        <x:f>IF(COUNTIFS('C30规则'!$A$5:$A$9,D41,'C30规则'!$C$5:$C$9,"&lt;="&amp;E41,'C30规则'!$D$5:$D$9,"&gt;="&amp;E41,'C30规则'!$E$5:$E$9,"&lt;="&amp;G41,'C30规则'!$F$5:$F$9,"&gt;="&amp;G41,'C30规则'!$G$5:$G$9,"&lt;="&amp;H41,'C30规则'!$H$5:$H$9,"&gt;="&amp;H41,'C30规则'!$I$5:$I$9,"&lt;="&amp;I41,'C30规则'!$J$5:$J$9,"&gt;="&amp;I41,'C30规则'!$K$5:$K$9,"&lt;="&amp;J41,'C30规则'!$L$5:$L$9,"&gt;="&amp;J41)=1,"通过","检查")</x:f>
        <x:v>通过</x:v>
      </x:c>
      <x:c r="O41" s="29" t="str">
        <x:v>RULE_DERIVED</x:v>
      </x:c>
    </x:row>
    <x:row r="42">
      <x:c r="A42" s="29" t="str">
        <x:v>C30-20260801-008</x:v>
      </x:c>
      <x:c r="B42" s="32" t="n">
        <x:v>46235.57083333333</x:v>
      </x:c>
      <x:c r="C42" s="29" t="str">
        <x:v>C30</x:v>
      </x:c>
      <x:c r="D42" s="29" t="str">
        <x:v>DRY_MILD</x:v>
      </x:c>
      <x:c r="E42" s="35" t="n">
        <x:v>60.8</x:v>
      </x:c>
      <x:c r="F42" s="41" t="str">
        <x:v>偏干，骨料微裸露，流动性偏弱</x:v>
      </x:c>
      <x:c r="G42" s="38" t="n">
        <x:v>-20</x:v>
      </x:c>
      <x:c r="H42" s="38" t="n">
        <x:v>160</x:v>
      </x:c>
      <x:c r="I42" s="38" t="n">
        <x:v>520</x:v>
      </x:c>
      <x:c r="J42" s="35" t="n">
        <x:v>4.8</x:v>
      </x:c>
      <x:c r="K42" s="29" t="str">
        <x:v>轻微异常</x:v>
      </x:c>
      <x:c r="L42" s="41" t="str">
        <x:v>优先增加聚羧酸减水剂掺量0.1%，搅拌30s后复测，达标后出料。</x:v>
      </x:c>
      <x:c r="M42" s="29" t="str">
        <x:v>是</x:v>
      </x:c>
      <x:c r="N42" s="29" t="str">
        <x:f>IF(COUNTIFS('C30规则'!$A$5:$A$9,D42,'C30规则'!$C$5:$C$9,"&lt;="&amp;E42,'C30规则'!$D$5:$D$9,"&gt;="&amp;E42,'C30规则'!$E$5:$E$9,"&lt;="&amp;G42,'C30规则'!$F$5:$F$9,"&gt;="&amp;G42,'C30规则'!$G$5:$G$9,"&lt;="&amp;H42,'C30规则'!$H$5:$H$9,"&gt;="&amp;H42,'C30规则'!$I$5:$I$9,"&lt;="&amp;I42,'C30规则'!$J$5:$J$9,"&gt;="&amp;I42,'C30规则'!$K$5:$K$9,"&lt;="&amp;J42,'C30规则'!$L$5:$L$9,"&gt;="&amp;J42)=1,"通过","检查")</x:f>
        <x:v>通过</x:v>
      </x:c>
      <x:c r="O42" s="29" t="str">
        <x:v>RULE_DERIVED</x:v>
      </x:c>
    </x:row>
    <x:row r="43">
      <x:c r="A43" s="29" t="str">
        <x:v>C30-20260801-009</x:v>
      </x:c>
      <x:c r="B43" s="32" t="n">
        <x:v>46235.6</x:v>
      </x:c>
      <x:c r="C43" s="29" t="str">
        <x:v>C30</x:v>
      </x:c>
      <x:c r="D43" s="29" t="str">
        <x:v>WET_SEVERE</x:v>
      </x:c>
      <x:c r="E43" s="35" t="n">
        <x:v>46.9</x:v>
      </x:c>
      <x:c r="F43" s="41" t="str">
        <x:v>过稀，泌水，离析，骨料下沉，存在堵泵风险</x:v>
      </x:c>
      <x:c r="G43" s="38" t="n">
        <x:v>50</x:v>
      </x:c>
      <x:c r="H43" s="38" t="n">
        <x:v>230</x:v>
      </x:c>
      <x:c r="I43" s="38" t="n">
        <x:v>639</x:v>
      </x:c>
      <x:c r="J43" s="35" t="n">
        <x:v>1.3</x:v>
      </x:c>
      <x:c r="K43" s="29" t="str">
        <x:v>不合格</x:v>
      </x:c>
      <x:c r="L43" s="41" t="str">
        <x:v>立即暂停出料；加入10–12kg/m³干砂和3–5kg/m³水泥，搅拌60s后复测；仍离析则废弃并排查计量系统。</x:v>
      </x:c>
      <x:c r="M43" s="29" t="str">
        <x:v>是</x:v>
      </x:c>
      <x:c r="N43" s="29" t="str">
        <x:f>IF(COUNTIFS('C30规则'!$A$5:$A$9,D43,'C30规则'!$C$5:$C$9,"&lt;="&amp;E43,'C30规则'!$D$5:$D$9,"&gt;="&amp;E43,'C30规则'!$E$5:$E$9,"&lt;="&amp;G43,'C30规则'!$F$5:$F$9,"&gt;="&amp;G43,'C30规则'!$G$5:$G$9,"&lt;="&amp;H43,'C30规则'!$H$5:$H$9,"&gt;="&amp;H43,'C30规则'!$I$5:$I$9,"&lt;="&amp;I43,'C30规则'!$J$5:$J$9,"&gt;="&amp;I43,'C30规则'!$K$5:$K$9,"&lt;="&amp;J43,'C30规则'!$L$5:$L$9,"&gt;="&amp;J43)=1,"通过","检查")</x:f>
        <x:v>通过</x:v>
      </x:c>
      <x:c r="O43" s="29" t="str">
        <x:v>RULE_DERIVED</x:v>
      </x:c>
    </x:row>
    <x:row r="44">
      <x:c r="A44" s="29" t="str">
        <x:v>C30-20260801-010</x:v>
      </x:c>
      <x:c r="B44" s="32" t="n">
        <x:v>46235.635416666664</x:v>
      </x:c>
      <x:c r="C44" s="29" t="str">
        <x:v>C30</x:v>
      </x:c>
      <x:c r="D44" s="29" t="str">
        <x:v>NORMAL</x:v>
      </x:c>
      <x:c r="E44" s="35" t="n">
        <x:v>57</x:v>
      </x:c>
      <x:c r="F44" s="41" t="str">
        <x:v>稠度适中，包裹性好，不泌水，不结块，泵送顺畅</x:v>
      </x:c>
      <x:c r="G44" s="38" t="n">
        <x:v>6</x:v>
      </x:c>
      <x:c r="H44" s="38" t="n">
        <x:v>186</x:v>
      </x:c>
      <x:c r="I44" s="38" t="n">
        <x:v>552</x:v>
      </x:c>
      <x:c r="J44" s="35" t="n">
        <x:v>3.4</x:v>
      </x:c>
      <x:c r="K44" s="29" t="str">
        <x:v>合格</x:v>
      </x:c>
      <x:c r="L44" s="41" t="str">
        <x:v>终止搅拌，直接出料；同步记录台账，留存实测参数备查。</x:v>
      </x:c>
      <x:c r="M44" s="29" t="str">
        <x:v>否</x:v>
      </x:c>
      <x:c r="N44" s="29" t="str">
        <x:f>IF(COUNTIFS('C30规则'!$A$5:$A$9,D44,'C30规则'!$C$5:$C$9,"&lt;="&amp;E44,'C30规则'!$D$5:$D$9,"&gt;="&amp;E44,'C30规则'!$E$5:$E$9,"&lt;="&amp;G44,'C30规则'!$F$5:$F$9,"&gt;="&amp;G44,'C30规则'!$G$5:$G$9,"&lt;="&amp;H44,'C30规则'!$H$5:$H$9,"&gt;="&amp;H44,'C30规则'!$I$5:$I$9,"&lt;="&amp;I44,'C30规则'!$J$5:$J$9,"&gt;="&amp;I44,'C30规则'!$K$5:$K$9,"&lt;="&amp;J44,'C30规则'!$L$5:$L$9,"&gt;="&amp;J44)=1,"通过","检查")</x:f>
        <x:v>通过</x:v>
      </x:c>
      <x:c r="O44" s="29" t="str">
        <x:v>RULE_DERIVED</x:v>
      </x:c>
    </x:row>
    <x:row r="45">
      <x:c r="A45" s="29" t="str">
        <x:v>C30-20260802-001</x:v>
      </x:c>
      <x:c r="B45" s="32" t="n">
        <x:v>46236.336805555555</x:v>
      </x:c>
      <x:c r="C45" s="29" t="str">
        <x:v>C30</x:v>
      </x:c>
      <x:c r="D45" s="29" t="str">
        <x:v>NORMAL</x:v>
      </x:c>
      <x:c r="E45" s="35" t="n">
        <x:v>58.8</x:v>
      </x:c>
      <x:c r="F45" s="41" t="str">
        <x:v>稠度适中，包裹性好，不泌水，不结块，泵送顺畅</x:v>
      </x:c>
      <x:c r="G45" s="38" t="n">
        <x:v>-9</x:v>
      </x:c>
      <x:c r="H45" s="38" t="n">
        <x:v>171</x:v>
      </x:c>
      <x:c r="I45" s="38" t="n">
        <x:v>539</x:v>
      </x:c>
      <x:c r="J45" s="35" t="n">
        <x:v>4.1</x:v>
      </x:c>
      <x:c r="K45" s="29" t="str">
        <x:v>合格</x:v>
      </x:c>
      <x:c r="L45" s="41" t="str">
        <x:v>终止搅拌，直接出料；同步记录台账，留存实测参数备查。</x:v>
      </x:c>
      <x:c r="M45" s="29" t="str">
        <x:v>否</x:v>
      </x:c>
      <x:c r="N45" s="29" t="str">
        <x:f>IF(COUNTIFS('C30规则'!$A$5:$A$9,D45,'C30规则'!$C$5:$C$9,"&lt;="&amp;E45,'C30规则'!$D$5:$D$9,"&gt;="&amp;E45,'C30规则'!$E$5:$E$9,"&lt;="&amp;G45,'C30规则'!$F$5:$F$9,"&gt;="&amp;G45,'C30规则'!$G$5:$G$9,"&lt;="&amp;H45,'C30规则'!$H$5:$H$9,"&gt;="&amp;H45,'C30规则'!$I$5:$I$9,"&lt;="&amp;I45,'C30规则'!$J$5:$J$9,"&gt;="&amp;I45,'C30规则'!$K$5:$K$9,"&lt;="&amp;J45,'C30规则'!$L$5:$L$9,"&gt;="&amp;J45)=1,"通过","检查")</x:f>
        <x:v>通过</x:v>
      </x:c>
      <x:c r="O45" s="29" t="str">
        <x:v>RULE_DERIVED</x:v>
      </x:c>
    </x:row>
    <x:row r="46">
      <x:c r="A46" s="29" t="str">
        <x:v>C30-20260802-002</x:v>
      </x:c>
      <x:c r="B46" s="32" t="n">
        <x:v>46236.36944444444</x:v>
      </x:c>
      <x:c r="C46" s="29" t="str">
        <x:v>C30</x:v>
      </x:c>
      <x:c r="D46" s="29" t="str">
        <x:v>NORMAL</x:v>
      </x:c>
      <x:c r="E46" s="35" t="n">
        <x:v>56</x:v>
      </x:c>
      <x:c r="F46" s="41" t="str">
        <x:v>稠度适中，包裹性好，不泌水，不结块，泵送顺畅</x:v>
      </x:c>
      <x:c r="G46" s="38" t="n">
        <x:v>12</x:v>
      </x:c>
      <x:c r="H46" s="38" t="n">
        <x:v>192</x:v>
      </x:c>
      <x:c r="I46" s="38" t="n">
        <x:v>564</x:v>
      </x:c>
      <x:c r="J46" s="35" t="n">
        <x:v>2.8</x:v>
      </x:c>
      <x:c r="K46" s="29" t="str">
        <x:v>合格</x:v>
      </x:c>
      <x:c r="L46" s="41" t="str">
        <x:v>终止搅拌，直接出料；同步记录台账，留存实测参数备查。</x:v>
      </x:c>
      <x:c r="M46" s="29" t="str">
        <x:v>否</x:v>
      </x:c>
      <x:c r="N46" s="29" t="str">
        <x:f>IF(COUNTIFS('C30规则'!$A$5:$A$9,D46,'C30规则'!$C$5:$C$9,"&lt;="&amp;E46,'C30规则'!$D$5:$D$9,"&gt;="&amp;E46,'C30规则'!$E$5:$E$9,"&lt;="&amp;G46,'C30规则'!$F$5:$F$9,"&gt;="&amp;G46,'C30规则'!$G$5:$G$9,"&lt;="&amp;H46,'C30规则'!$H$5:$H$9,"&gt;="&amp;H46,'C30规则'!$I$5:$I$9,"&lt;="&amp;I46,'C30规则'!$J$5:$J$9,"&gt;="&amp;I46,'C30规则'!$K$5:$K$9,"&lt;="&amp;J46,'C30规则'!$L$5:$L$9,"&gt;="&amp;J46)=1,"通过","检查")</x:f>
        <x:v>通过</x:v>
      </x:c>
      <x:c r="O46" s="29" t="str">
        <x:v>RULE_DERIVED</x:v>
      </x:c>
    </x:row>
    <x:row r="47">
      <x:c r="A47" s="29" t="str">
        <x:v>C30-20260802-003</x:v>
      </x:c>
      <x:c r="B47" s="32" t="n">
        <x:v>46236.40069444444</x:v>
      </x:c>
      <x:c r="C47" s="29" t="str">
        <x:v>C30</x:v>
      </x:c>
      <x:c r="D47" s="29" t="str">
        <x:v>WET_MILD</x:v>
      </x:c>
      <x:c r="E47" s="35" t="n">
        <x:v>47.2</x:v>
      </x:c>
      <x:c r="F47" s="41" t="str">
        <x:v>偏稀，流动性偏大，无泌水</x:v>
      </x:c>
      <x:c r="G47" s="38" t="n">
        <x:v>26</x:v>
      </x:c>
      <x:c r="H47" s="38" t="n">
        <x:v>206</x:v>
      </x:c>
      <x:c r="I47" s="38" t="n">
        <x:v>597</x:v>
      </x:c>
      <x:c r="J47" s="35" t="n">
        <x:v>1.8</x:v>
      </x:c>
      <x:c r="K47" s="29" t="str">
        <x:v>轻微异常</x:v>
      </x:c>
      <x:c r="L47" s="41" t="str">
        <x:v>加入5–8kg/m³干砂，搅拌30s后复测，达标后正常出料并观察泵送。</x:v>
      </x:c>
      <x:c r="M47" s="29" t="str">
        <x:v>是</x:v>
      </x:c>
      <x:c r="N47" s="29" t="str">
        <x:f>IF(COUNTIFS('C30规则'!$A$5:$A$9,D47,'C30规则'!$C$5:$C$9,"&lt;="&amp;E47,'C30规则'!$D$5:$D$9,"&gt;="&amp;E47,'C30规则'!$E$5:$E$9,"&lt;="&amp;G47,'C30规则'!$F$5:$F$9,"&gt;="&amp;G47,'C30规则'!$G$5:$G$9,"&lt;="&amp;H47,'C30规则'!$H$5:$H$9,"&gt;="&amp;H47,'C30规则'!$I$5:$I$9,"&lt;="&amp;I47,'C30规则'!$J$5:$J$9,"&gt;="&amp;I47,'C30规则'!$K$5:$K$9,"&lt;="&amp;J47,'C30规则'!$L$5:$L$9,"&gt;="&amp;J47)=1,"通过","检查")</x:f>
        <x:v>通过</x:v>
      </x:c>
      <x:c r="O47" s="29" t="str">
        <x:v>RULE_DERIVED</x:v>
      </x:c>
    </x:row>
    <x:row r="48">
      <x:c r="A48" s="29" t="str">
        <x:v>C30-20260802-004</x:v>
      </x:c>
      <x:c r="B48" s="32" t="n">
        <x:v>46236.43472222222</x:v>
      </x:c>
      <x:c r="C48" s="29" t="str">
        <x:v>C30</x:v>
      </x:c>
      <x:c r="D48" s="29" t="str">
        <x:v>NORMAL</x:v>
      </x:c>
      <x:c r="E48" s="35" t="n">
        <x:v>59.2</x:v>
      </x:c>
      <x:c r="F48" s="41" t="str">
        <x:v>稠度适中，包裹性好，不泌水，不结块，泵送顺畅</x:v>
      </x:c>
      <x:c r="G48" s="38" t="n">
        <x:v>-13</x:v>
      </x:c>
      <x:c r="H48" s="38" t="n">
        <x:v>167</x:v>
      </x:c>
      <x:c r="I48" s="38" t="n">
        <x:v>530</x:v>
      </x:c>
      <x:c r="J48" s="35" t="n">
        <x:v>4.1</x:v>
      </x:c>
      <x:c r="K48" s="29" t="str">
        <x:v>合格</x:v>
      </x:c>
      <x:c r="L48" s="41" t="str">
        <x:v>终止搅拌，直接出料；同步记录台账，留存实测参数备查。</x:v>
      </x:c>
      <x:c r="M48" s="29" t="str">
        <x:v>否</x:v>
      </x:c>
      <x:c r="N48" s="29" t="str">
        <x:f>IF(COUNTIFS('C30规则'!$A$5:$A$9,D48,'C30规则'!$C$5:$C$9,"&lt;="&amp;E48,'C30规则'!$D$5:$D$9,"&gt;="&amp;E48,'C30规则'!$E$5:$E$9,"&lt;="&amp;G48,'C30规则'!$F$5:$F$9,"&gt;="&amp;G48,'C30规则'!$G$5:$G$9,"&lt;="&amp;H48,'C30规则'!$H$5:$H$9,"&gt;="&amp;H48,'C30规则'!$I$5:$I$9,"&lt;="&amp;I48,'C30规则'!$J$5:$J$9,"&gt;="&amp;I48,'C30规则'!$K$5:$K$9,"&lt;="&amp;J48,'C30规则'!$L$5:$L$9,"&gt;="&amp;J48)=1,"通过","检查")</x:f>
        <x:v>通过</x:v>
      </x:c>
      <x:c r="O48" s="29" t="str">
        <x:v>RULE_DERIVED</x:v>
      </x:c>
    </x:row>
    <x:row r="49">
      <x:c r="A49" s="29" t="str">
        <x:v>C30-20260802-005</x:v>
      </x:c>
      <x:c r="B49" s="32" t="n">
        <x:v>46236.46805555555</x:v>
      </x:c>
      <x:c r="C49" s="29" t="str">
        <x:v>C30</x:v>
      </x:c>
      <x:c r="D49" s="29" t="str">
        <x:v>NORMAL</x:v>
      </x:c>
      <x:c r="E49" s="35" t="n">
        <x:v>56.7</x:v>
      </x:c>
      <x:c r="F49" s="41" t="str">
        <x:v>稠度适中，包裹性好，不泌水，不结块，泵送顺畅</x:v>
      </x:c>
      <x:c r="G49" s="38" t="n">
        <x:v>8</x:v>
      </x:c>
      <x:c r="H49" s="38" t="n">
        <x:v>188</x:v>
      </x:c>
      <x:c r="I49" s="38" t="n">
        <x:v>557</x:v>
      </x:c>
      <x:c r="J49" s="35" t="n">
        <x:v>3.1</x:v>
      </x:c>
      <x:c r="K49" s="29" t="str">
        <x:v>合格</x:v>
      </x:c>
      <x:c r="L49" s="41" t="str">
        <x:v>终止搅拌，直接出料；同步记录台账，留存实测参数备查。</x:v>
      </x:c>
      <x:c r="M49" s="29" t="str">
        <x:v>否</x:v>
      </x:c>
      <x:c r="N49" s="29" t="str">
        <x:f>IF(COUNTIFS('C30规则'!$A$5:$A$9,D49,'C30规则'!$C$5:$C$9,"&lt;="&amp;E49,'C30规则'!$D$5:$D$9,"&gt;="&amp;E49,'C30规则'!$E$5:$E$9,"&lt;="&amp;G49,'C30规则'!$F$5:$F$9,"&gt;="&amp;G49,'C30规则'!$G$5:$G$9,"&lt;="&amp;H49,'C30规则'!$H$5:$H$9,"&gt;="&amp;H49,'C30规则'!$I$5:$I$9,"&lt;="&amp;I49,'C30规则'!$J$5:$J$9,"&gt;="&amp;I49,'C30规则'!$K$5:$K$9,"&lt;="&amp;J49,'C30规则'!$L$5:$L$9,"&gt;="&amp;J49)=1,"通过","检查")</x:f>
        <x:v>通过</x:v>
      </x:c>
      <x:c r="O49" s="29" t="str">
        <x:v>RULE_DERIVED</x:v>
      </x:c>
    </x:row>
    <x:row r="50">
      <x:c r="A50" s="29" t="str">
        <x:v>C30-20260802-006</x:v>
      </x:c>
      <x:c r="B50" s="32" t="n">
        <x:v>46236.50347222222</x:v>
      </x:c>
      <x:c r="C50" s="29" t="str">
        <x:v>C30</x:v>
      </x:c>
      <x:c r="D50" s="29" t="str">
        <x:v>DRY_SEVERE</x:v>
      </x:c>
      <x:c r="E50" s="35" t="n">
        <x:v>76.4</x:v>
      </x:c>
      <x:c r="F50" s="41" t="str">
        <x:v>干涩，结块，挂壁，流动性极差，无法泵送</x:v>
      </x:c>
      <x:c r="G50" s="38" t="n">
        <x:v>-50</x:v>
      </x:c>
      <x:c r="H50" s="38" t="n">
        <x:v>130</x:v>
      </x:c>
      <x:c r="I50" s="38" t="n">
        <x:v>468</x:v>
      </x:c>
      <x:c r="J50" s="35" t="n">
        <x:v>6.5</x:v>
      </x:c>
      <x:c r="K50" s="29" t="str">
        <x:v>不合格</x:v>
      </x:c>
      <x:c r="L50" s="41" t="str">
        <x:v>优先补加0.2%减水剂和5kg清水，搅拌60s后复测。</x:v>
      </x:c>
      <x:c r="M50" s="29" t="str">
        <x:v>是</x:v>
      </x:c>
      <x:c r="N50" s="29" t="str">
        <x:f>IF(COUNTIFS('C30规则'!$A$5:$A$9,D50,'C30规则'!$C$5:$C$9,"&lt;="&amp;E50,'C30规则'!$D$5:$D$9,"&gt;="&amp;E50,'C30规则'!$E$5:$E$9,"&lt;="&amp;G50,'C30规则'!$F$5:$F$9,"&gt;="&amp;G50,'C30规则'!$G$5:$G$9,"&lt;="&amp;H50,'C30规则'!$H$5:$H$9,"&gt;="&amp;H50,'C30规则'!$I$5:$I$9,"&lt;="&amp;I50,'C30规则'!$J$5:$J$9,"&gt;="&amp;I50,'C30规则'!$K$5:$K$9,"&lt;="&amp;J50,'C30规则'!$L$5:$L$9,"&gt;="&amp;J50)=1,"通过","检查")</x:f>
        <x:v>通过</x:v>
      </x:c>
      <x:c r="O50" s="29" t="str">
        <x:v>RULE_DERIVED</x:v>
      </x:c>
    </x:row>
    <x:row r="51">
      <x:c r="A51" s="29" t="str">
        <x:v>C30-20260802-007</x:v>
      </x:c>
      <x:c r="B51" s="32" t="n">
        <x:v>46236.5375</x:v>
      </x:c>
      <x:c r="C51" s="29" t="str">
        <x:v>C30</x:v>
      </x:c>
      <x:c r="D51" s="29" t="str">
        <x:v>NORMAL</x:v>
      </x:c>
      <x:c r="E51" s="35" t="n">
        <x:v>56.6</x:v>
      </x:c>
      <x:c r="F51" s="41" t="str">
        <x:v>稠度适中，包裹性好，不泌水，不结块，泵送顺畅</x:v>
      </x:c>
      <x:c r="G51" s="38" t="n">
        <x:v>10</x:v>
      </x:c>
      <x:c r="H51" s="38" t="n">
        <x:v>190</x:v>
      </x:c>
      <x:c r="I51" s="38" t="n">
        <x:v>563</x:v>
      </x:c>
      <x:c r="J51" s="35" t="n">
        <x:v>3.1</x:v>
      </x:c>
      <x:c r="K51" s="29" t="str">
        <x:v>合格</x:v>
      </x:c>
      <x:c r="L51" s="41" t="str">
        <x:v>终止搅拌，直接出料；同步记录台账，留存实测参数备查。</x:v>
      </x:c>
      <x:c r="M51" s="29" t="str">
        <x:v>否</x:v>
      </x:c>
      <x:c r="N51" s="29" t="str">
        <x:f>IF(COUNTIFS('C30规则'!$A$5:$A$9,D51,'C30规则'!$C$5:$C$9,"&lt;="&amp;E51,'C30规则'!$D$5:$D$9,"&gt;="&amp;E51,'C30规则'!$E$5:$E$9,"&lt;="&amp;G51,'C30规则'!$F$5:$F$9,"&gt;="&amp;G51,'C30规则'!$G$5:$G$9,"&lt;="&amp;H51,'C30规则'!$H$5:$H$9,"&gt;="&amp;H51,'C30规则'!$I$5:$I$9,"&lt;="&amp;I51,'C30规则'!$J$5:$J$9,"&gt;="&amp;I51,'C30规则'!$K$5:$K$9,"&lt;="&amp;J51,'C30规则'!$L$5:$L$9,"&gt;="&amp;J51)=1,"通过","检查")</x:f>
        <x:v>通过</x:v>
      </x:c>
      <x:c r="O51" s="29" t="str">
        <x:v>RULE_DERIVED</x:v>
      </x:c>
    </x:row>
    <x:row r="52">
      <x:c r="A52" s="29" t="str">
        <x:v>C30-20260802-008</x:v>
      </x:c>
      <x:c r="B52" s="32" t="n">
        <x:v>46236.57152777778</x:v>
      </x:c>
      <x:c r="C52" s="29" t="str">
        <x:v>C30</x:v>
      </x:c>
      <x:c r="D52" s="29" t="str">
        <x:v>NORMAL</x:v>
      </x:c>
      <x:c r="E52" s="35" t="n">
        <x:v>57.4</x:v>
      </x:c>
      <x:c r="F52" s="41" t="str">
        <x:v>稠度适中，包裹性好，不泌水，不结块，泵送顺畅</x:v>
      </x:c>
      <x:c r="G52" s="38" t="n">
        <x:v>4</x:v>
      </x:c>
      <x:c r="H52" s="38" t="n">
        <x:v>184</x:v>
      </x:c>
      <x:c r="I52" s="38" t="n">
        <x:v>548</x:v>
      </x:c>
      <x:c r="J52" s="35" t="n">
        <x:v>3.6</x:v>
      </x:c>
      <x:c r="K52" s="29" t="str">
        <x:v>合格</x:v>
      </x:c>
      <x:c r="L52" s="41" t="str">
        <x:v>终止搅拌，直接出料；同步记录台账，留存实测参数备查。</x:v>
      </x:c>
      <x:c r="M52" s="29" t="str">
        <x:v>否</x:v>
      </x:c>
      <x:c r="N52" s="29" t="str">
        <x:f>IF(COUNTIFS('C30规则'!$A$5:$A$9,D52,'C30规则'!$C$5:$C$9,"&lt;="&amp;E52,'C30规则'!$D$5:$D$9,"&gt;="&amp;E52,'C30规则'!$E$5:$E$9,"&lt;="&amp;G52,'C30规则'!$F$5:$F$9,"&gt;="&amp;G52,'C30规则'!$G$5:$G$9,"&lt;="&amp;H52,'C30规则'!$H$5:$H$9,"&gt;="&amp;H52,'C30规则'!$I$5:$I$9,"&lt;="&amp;I52,'C30规则'!$J$5:$J$9,"&gt;="&amp;I52,'C30规则'!$K$5:$K$9,"&lt;="&amp;J52,'C30规则'!$L$5:$L$9,"&gt;="&amp;J52)=1,"通过","检查")</x:f>
        <x:v>通过</x:v>
      </x:c>
      <x:c r="O52" s="29" t="str">
        <x:v>RULE_DERIVED</x:v>
      </x:c>
    </x:row>
    <x:row r="53">
      <x:c r="A53" s="29" t="str">
        <x:v>C30-20260802-009</x:v>
      </x:c>
      <x:c r="B53" s="32" t="n">
        <x:v>46236.60138888889</x:v>
      </x:c>
      <x:c r="C53" s="29" t="str">
        <x:v>C30</x:v>
      </x:c>
      <x:c r="D53" s="29" t="str">
        <x:v>NORMAL</x:v>
      </x:c>
      <x:c r="E53" s="35" t="n">
        <x:v>58.1</x:v>
      </x:c>
      <x:c r="F53" s="41" t="str">
        <x:v>稠度适中，包裹性好，不泌水，不结块，泵送顺畅</x:v>
      </x:c>
      <x:c r="G53" s="38" t="n">
        <x:v>-5</x:v>
      </x:c>
      <x:c r="H53" s="38" t="n">
        <x:v>175</x:v>
      </x:c>
      <x:c r="I53" s="38" t="n">
        <x:v>545</x:v>
      </x:c>
      <x:c r="J53" s="35" t="n">
        <x:v>3.8</x:v>
      </x:c>
      <x:c r="K53" s="29" t="str">
        <x:v>合格</x:v>
      </x:c>
      <x:c r="L53" s="41" t="str">
        <x:v>终止搅拌，直接出料；同步记录台账，留存实测参数备查。</x:v>
      </x:c>
      <x:c r="M53" s="29" t="str">
        <x:v>否</x:v>
      </x:c>
      <x:c r="N53" s="29" t="str">
        <x:f>IF(COUNTIFS('C30规则'!$A$5:$A$9,D53,'C30规则'!$C$5:$C$9,"&lt;="&amp;E53,'C30规则'!$D$5:$D$9,"&gt;="&amp;E53,'C30规则'!$E$5:$E$9,"&lt;="&amp;G53,'C30规则'!$F$5:$F$9,"&gt;="&amp;G53,'C30规则'!$G$5:$G$9,"&lt;="&amp;H53,'C30规则'!$H$5:$H$9,"&gt;="&amp;H53,'C30规则'!$I$5:$I$9,"&lt;="&amp;I53,'C30规则'!$J$5:$J$9,"&gt;="&amp;I53,'C30规则'!$K$5:$K$9,"&lt;="&amp;J53,'C30规则'!$L$5:$L$9,"&gt;="&amp;J53)=1,"通过","检查")</x:f>
        <x:v>通过</x:v>
      </x:c>
      <x:c r="O53" s="29" t="str">
        <x:v>RULE_DERIVED</x:v>
      </x:c>
    </x:row>
    <x:row r="54">
      <x:c r="A54" s="29" t="str">
        <x:v>C30-20260802-010</x:v>
      </x:c>
      <x:c r="B54" s="32" t="n">
        <x:v>46236.634722222225</x:v>
      </x:c>
      <x:c r="C54" s="29" t="str">
        <x:v>C30</x:v>
      </x:c>
      <x:c r="D54" s="29" t="str">
        <x:v>DRY_SEVERE</x:v>
      </x:c>
      <x:c r="E54" s="35" t="n">
        <x:v>70.6</x:v>
      </x:c>
      <x:c r="F54" s="41" t="str">
        <x:v>干涩，结块，挂壁，流动性极差，无法泵送</x:v>
      </x:c>
      <x:c r="G54" s="38" t="n">
        <x:v>-42</x:v>
      </x:c>
      <x:c r="H54" s="38" t="n">
        <x:v>138</x:v>
      </x:c>
      <x:c r="I54" s="38" t="n">
        <x:v>487</x:v>
      </x:c>
      <x:c r="J54" s="35" t="n">
        <x:v>5.7</x:v>
      </x:c>
      <x:c r="K54" s="29" t="str">
        <x:v>不合格</x:v>
      </x:c>
      <x:c r="L54" s="41" t="str">
        <x:v>优先补加0.2%减水剂和5kg清水，搅拌60s后复测。</x:v>
      </x:c>
      <x:c r="M54" s="29" t="str">
        <x:v>是</x:v>
      </x:c>
      <x:c r="N54" s="29" t="str">
        <x:f>IF(COUNTIFS('C30规则'!$A$5:$A$9,D54,'C30规则'!$C$5:$C$9,"&lt;="&amp;E54,'C30规则'!$D$5:$D$9,"&gt;="&amp;E54,'C30规则'!$E$5:$E$9,"&lt;="&amp;G54,'C30规则'!$F$5:$F$9,"&gt;="&amp;G54,'C30规则'!$G$5:$G$9,"&lt;="&amp;H54,'C30规则'!$H$5:$H$9,"&gt;="&amp;H54,'C30规则'!$I$5:$I$9,"&lt;="&amp;I54,'C30规则'!$J$5:$J$9,"&gt;="&amp;I54,'C30规则'!$K$5:$K$9,"&lt;="&amp;J54,'C30规则'!$L$5:$L$9,"&gt;="&amp;J54)=1,"通过","检查")</x:f>
        <x:v>通过</x:v>
      </x:c>
      <x:c r="O54" s="29" t="str">
        <x:v>RULE_DERIVED</x:v>
      </x:c>
    </x:row>
    <x:row r="55">
      <x:c r="A55" s="29" t="str">
        <x:v>C30-20260803-001</x:v>
      </x:c>
      <x:c r="B55" s="32" t="n">
        <x:v>46237.3375</x:v>
      </x:c>
      <x:c r="C55" s="29" t="str">
        <x:v>C30</x:v>
      </x:c>
      <x:c r="D55" s="29" t="str">
        <x:v>WET_SEVERE</x:v>
      </x:c>
      <x:c r="E55" s="35" t="n">
        <x:v>48</x:v>
      </x:c>
      <x:c r="F55" s="41" t="str">
        <x:v>过稀，泌水，离析，骨料下沉，存在堵泵风险</x:v>
      </x:c>
      <x:c r="G55" s="38" t="n">
        <x:v>42</x:v>
      </x:c>
      <x:c r="H55" s="38" t="n">
        <x:v>222</x:v>
      </x:c>
      <x:c r="I55" s="38" t="n">
        <x:v>627</x:v>
      </x:c>
      <x:c r="J55" s="35" t="n">
        <x:v>1.7</x:v>
      </x:c>
      <x:c r="K55" s="29" t="str">
        <x:v>不合格</x:v>
      </x:c>
      <x:c r="L55" s="41" t="str">
        <x:v>立即暂停出料；加入10–12kg/m³干砂和3–5kg/m³水泥，搅拌60s后复测；仍离析则废弃并排查计量系统。</x:v>
      </x:c>
      <x:c r="M55" s="29" t="str">
        <x:v>是</x:v>
      </x:c>
      <x:c r="N55" s="29" t="str">
        <x:f>IF(COUNTIFS('C30规则'!$A$5:$A$9,D55,'C30规则'!$C$5:$C$9,"&lt;="&amp;E55,'C30规则'!$D$5:$D$9,"&gt;="&amp;E55,'C30规则'!$E$5:$E$9,"&lt;="&amp;G55,'C30规则'!$F$5:$F$9,"&gt;="&amp;G55,'C30规则'!$G$5:$G$9,"&lt;="&amp;H55,'C30规则'!$H$5:$H$9,"&gt;="&amp;H55,'C30规则'!$I$5:$I$9,"&lt;="&amp;I55,'C30规则'!$J$5:$J$9,"&gt;="&amp;I55,'C30规则'!$K$5:$K$9,"&lt;="&amp;J55,'C30规则'!$L$5:$L$9,"&gt;="&amp;J55)=1,"通过","检查")</x:f>
        <x:v>通过</x:v>
      </x:c>
      <x:c r="O55" s="29" t="str">
        <x:v>RULE_DERIVED</x:v>
      </x:c>
    </x:row>
    <x:row r="56">
      <x:c r="A56" s="29" t="str">
        <x:v>C30-20260803-002</x:v>
      </x:c>
      <x:c r="B56" s="32" t="n">
        <x:v>46237.36736111111</x:v>
      </x:c>
      <x:c r="C56" s="29" t="str">
        <x:v>C30</x:v>
      </x:c>
      <x:c r="D56" s="29" t="str">
        <x:v>NORMAL</x:v>
      </x:c>
      <x:c r="E56" s="35" t="n">
        <x:v>58.1</x:v>
      </x:c>
      <x:c r="F56" s="41" t="str">
        <x:v>稠度适中，包裹性好，不泌水，不结块，泵送顺畅</x:v>
      </x:c>
      <x:c r="G56" s="38" t="n">
        <x:v>-3</x:v>
      </x:c>
      <x:c r="H56" s="38" t="n">
        <x:v>177</x:v>
      </x:c>
      <x:c r="I56" s="38" t="n">
        <x:v>552</x:v>
      </x:c>
      <x:c r="J56" s="35" t="n">
        <x:v>3.7</x:v>
      </x:c>
      <x:c r="K56" s="29" t="str">
        <x:v>合格</x:v>
      </x:c>
      <x:c r="L56" s="41" t="str">
        <x:v>终止搅拌，直接出料；同步记录台账，留存实测参数备查。</x:v>
      </x:c>
      <x:c r="M56" s="29" t="str">
        <x:v>否</x:v>
      </x:c>
      <x:c r="N56" s="29" t="str">
        <x:f>IF(COUNTIFS('C30规则'!$A$5:$A$9,D56,'C30规则'!$C$5:$C$9,"&lt;="&amp;E56,'C30规则'!$D$5:$D$9,"&gt;="&amp;E56,'C30规则'!$E$5:$E$9,"&lt;="&amp;G56,'C30规则'!$F$5:$F$9,"&gt;="&amp;G56,'C30规则'!$G$5:$G$9,"&lt;="&amp;H56,'C30规则'!$H$5:$H$9,"&gt;="&amp;H56,'C30规则'!$I$5:$I$9,"&lt;="&amp;I56,'C30规则'!$J$5:$J$9,"&gt;="&amp;I56,'C30规则'!$K$5:$K$9,"&lt;="&amp;J56,'C30规则'!$L$5:$L$9,"&gt;="&amp;J56)=1,"通过","检查")</x:f>
        <x:v>通过</x:v>
      </x:c>
      <x:c r="O56" s="29" t="str">
        <x:v>RULE_DERIVED</x:v>
      </x:c>
    </x:row>
    <x:row r="57">
      <x:c r="A57" s="29" t="str">
        <x:v>C30-20260803-003</x:v>
      </x:c>
      <x:c r="B57" s="32" t="n">
        <x:v>46237.40138888889</x:v>
      </x:c>
      <x:c r="C57" s="29" t="str">
        <x:v>C30</x:v>
      </x:c>
      <x:c r="D57" s="29" t="str">
        <x:v>NORMAL</x:v>
      </x:c>
      <x:c r="E57" s="35" t="n">
        <x:v>59.6</x:v>
      </x:c>
      <x:c r="F57" s="41" t="str">
        <x:v>稠度适中，包裹性好，不泌水，不结块，泵送顺畅</x:v>
      </x:c>
      <x:c r="G57" s="38" t="n">
        <x:v>-18</x:v>
      </x:c>
      <x:c r="H57" s="38" t="n">
        <x:v>162</x:v>
      </x:c>
      <x:c r="I57" s="38" t="n">
        <x:v>530</x:v>
      </x:c>
      <x:c r="J57" s="35" t="n">
        <x:v>4.4</x:v>
      </x:c>
      <x:c r="K57" s="29" t="str">
        <x:v>合格</x:v>
      </x:c>
      <x:c r="L57" s="41" t="str">
        <x:v>终止搅拌，直接出料；同步记录台账，留存实测参数备查。</x:v>
      </x:c>
      <x:c r="M57" s="29" t="str">
        <x:v>否</x:v>
      </x:c>
      <x:c r="N57" s="29" t="str">
        <x:f>IF(COUNTIFS('C30规则'!$A$5:$A$9,D57,'C30规则'!$C$5:$C$9,"&lt;="&amp;E57,'C30规则'!$D$5:$D$9,"&gt;="&amp;E57,'C30规则'!$E$5:$E$9,"&lt;="&amp;G57,'C30规则'!$F$5:$F$9,"&gt;="&amp;G57,'C30规则'!$G$5:$G$9,"&lt;="&amp;H57,'C30规则'!$H$5:$H$9,"&gt;="&amp;H57,'C30规则'!$I$5:$I$9,"&lt;="&amp;I57,'C30规则'!$J$5:$J$9,"&gt;="&amp;I57,'C30规则'!$K$5:$K$9,"&lt;="&amp;J57,'C30规则'!$L$5:$L$9,"&gt;="&amp;J57)=1,"通过","检查")</x:f>
        <x:v>通过</x:v>
      </x:c>
      <x:c r="O57" s="29" t="str">
        <x:v>RULE_DERIVED</x:v>
      </x:c>
    </x:row>
    <x:row r="58">
      <x:c r="A58" s="29" t="str">
        <x:v>C30-20260803-004</x:v>
      </x:c>
      <x:c r="B58" s="32" t="n">
        <x:v>46237.43680555555</x:v>
      </x:c>
      <x:c r="C58" s="29" t="str">
        <x:v>C30</x:v>
      </x:c>
      <x:c r="D58" s="29" t="str">
        <x:v>WET_MILD</x:v>
      </x:c>
      <x:c r="E58" s="35" t="n">
        <x:v>52.7</x:v>
      </x:c>
      <x:c r="F58" s="41" t="str">
        <x:v>偏稀，流动性偏大，无泌水</x:v>
      </x:c>
      <x:c r="G58" s="38" t="n">
        <x:v>24</x:v>
      </x:c>
      <x:c r="H58" s="38" t="n">
        <x:v>204</x:v>
      </x:c>
      <x:c r="I58" s="38" t="n">
        <x:v>590</x:v>
      </x:c>
      <x:c r="J58" s="35" t="n">
        <x:v>2.1</x:v>
      </x:c>
      <x:c r="K58" s="29" t="str">
        <x:v>轻微异常</x:v>
      </x:c>
      <x:c r="L58" s="41" t="str">
        <x:v>加入5–8kg/m³干砂，搅拌30s后复测，达标后正常出料并观察泵送。</x:v>
      </x:c>
      <x:c r="M58" s="29" t="str">
        <x:v>是</x:v>
      </x:c>
      <x:c r="N58" s="29" t="str">
        <x:f>IF(COUNTIFS('C30规则'!$A$5:$A$9,D58,'C30规则'!$C$5:$C$9,"&lt;="&amp;E58,'C30规则'!$D$5:$D$9,"&gt;="&amp;E58,'C30规则'!$E$5:$E$9,"&lt;="&amp;G58,'C30规则'!$F$5:$F$9,"&gt;="&amp;G58,'C30规则'!$G$5:$G$9,"&lt;="&amp;H58,'C30规则'!$H$5:$H$9,"&gt;="&amp;H58,'C30规则'!$I$5:$I$9,"&lt;="&amp;I58,'C30规则'!$J$5:$J$9,"&gt;="&amp;I58,'C30规则'!$K$5:$K$9,"&lt;="&amp;J58,'C30规则'!$L$5:$L$9,"&gt;="&amp;J58)=1,"通过","检查")</x:f>
        <x:v>通过</x:v>
      </x:c>
      <x:c r="O58" s="29" t="str">
        <x:v>RULE_DERIVED</x:v>
      </x:c>
    </x:row>
    <x:row r="59">
      <x:c r="A59" s="29" t="str">
        <x:v>C30-20260803-005</x:v>
      </x:c>
      <x:c r="B59" s="32" t="n">
        <x:v>46237.46875</x:v>
      </x:c>
      <x:c r="C59" s="29" t="str">
        <x:v>C30</x:v>
      </x:c>
      <x:c r="D59" s="29" t="str">
        <x:v>NORMAL</x:v>
      </x:c>
      <x:c r="E59" s="35" t="n">
        <x:v>55.4</x:v>
      </x:c>
      <x:c r="F59" s="41" t="str">
        <x:v>稠度适中，包裹性好，不泌水，不结块，泵送顺畅</x:v>
      </x:c>
      <x:c r="G59" s="38" t="n">
        <x:v>18</x:v>
      </x:c>
      <x:c r="H59" s="38" t="n">
        <x:v>198</x:v>
      </x:c>
      <x:c r="I59" s="38" t="n">
        <x:v>570</x:v>
      </x:c>
      <x:c r="J59" s="35" t="n">
        <x:v>2.6</x:v>
      </x:c>
      <x:c r="K59" s="29" t="str">
        <x:v>合格</x:v>
      </x:c>
      <x:c r="L59" s="41" t="str">
        <x:v>终止搅拌，直接出料；同步记录台账，留存实测参数备查。</x:v>
      </x:c>
      <x:c r="M59" s="29" t="str">
        <x:v>否</x:v>
      </x:c>
      <x:c r="N59" s="29" t="str">
        <x:f>IF(COUNTIFS('C30规则'!$A$5:$A$9,D59,'C30规则'!$C$5:$C$9,"&lt;="&amp;E59,'C30规则'!$D$5:$D$9,"&gt;="&amp;E59,'C30规则'!$E$5:$E$9,"&lt;="&amp;G59,'C30规则'!$F$5:$F$9,"&gt;="&amp;G59,'C30规则'!$G$5:$G$9,"&lt;="&amp;H59,'C30规则'!$H$5:$H$9,"&gt;="&amp;H59,'C30规则'!$I$5:$I$9,"&lt;="&amp;I59,'C30规则'!$J$5:$J$9,"&gt;="&amp;I59,'C30规则'!$K$5:$K$9,"&lt;="&amp;J59,'C30规则'!$L$5:$L$9,"&gt;="&amp;J59)=1,"通过","检查")</x:f>
        <x:v>通过</x:v>
      </x:c>
      <x:c r="O59" s="29" t="str">
        <x:v>RULE_DERIVED</x:v>
      </x:c>
    </x:row>
    <x:row r="60">
      <x:c r="A60" s="29" t="str">
        <x:v>C30-20260803-006</x:v>
      </x:c>
      <x:c r="B60" s="32" t="n">
        <x:v>46237.50069444445</x:v>
      </x:c>
      <x:c r="C60" s="29" t="str">
        <x:v>C30</x:v>
      </x:c>
      <x:c r="D60" s="29" t="str">
        <x:v>NORMAL</x:v>
      </x:c>
      <x:c r="E60" s="35" t="n">
        <x:v>57.4</x:v>
      </x:c>
      <x:c r="F60" s="41" t="str">
        <x:v>稠度适中，包裹性好，不泌水，不结块，泵送顺畅</x:v>
      </x:c>
      <x:c r="G60" s="38" t="n">
        <x:v>3</x:v>
      </x:c>
      <x:c r="H60" s="38" t="n">
        <x:v>183</x:v>
      </x:c>
      <x:c r="I60" s="38" t="n">
        <x:v>556</x:v>
      </x:c>
      <x:c r="J60" s="35" t="n">
        <x:v>3.6</x:v>
      </x:c>
      <x:c r="K60" s="29" t="str">
        <x:v>合格</x:v>
      </x:c>
      <x:c r="L60" s="41" t="str">
        <x:v>终止搅拌，直接出料；同步记录台账，留存实测参数备查。</x:v>
      </x:c>
      <x:c r="M60" s="29" t="str">
        <x:v>否</x:v>
      </x:c>
      <x:c r="N60" s="29" t="str">
        <x:f>IF(COUNTIFS('C30规则'!$A$5:$A$9,D60,'C30规则'!$C$5:$C$9,"&lt;="&amp;E60,'C30规则'!$D$5:$D$9,"&gt;="&amp;E60,'C30规则'!$E$5:$E$9,"&lt;="&amp;G60,'C30规则'!$F$5:$F$9,"&gt;="&amp;G60,'C30规则'!$G$5:$G$9,"&lt;="&amp;H60,'C30规则'!$H$5:$H$9,"&gt;="&amp;H60,'C30规则'!$I$5:$I$9,"&lt;="&amp;I60,'C30规则'!$J$5:$J$9,"&gt;="&amp;I60,'C30规则'!$K$5:$K$9,"&lt;="&amp;J60,'C30规则'!$L$5:$L$9,"&gt;="&amp;J60)=1,"通过","检查")</x:f>
        <x:v>通过</x:v>
      </x:c>
      <x:c r="O60" s="29" t="str">
        <x:v>RULE_DERIVED</x:v>
      </x:c>
    </x:row>
    <x:row r="61">
      <x:c r="A61" s="29" t="str">
        <x:v>C30-20260803-007</x:v>
      </x:c>
      <x:c r="B61" s="32" t="n">
        <x:v>46237.53402777778</x:v>
      </x:c>
      <x:c r="C61" s="29" t="str">
        <x:v>C30</x:v>
      </x:c>
      <x:c r="D61" s="29" t="str">
        <x:v>NORMAL</x:v>
      </x:c>
      <x:c r="E61" s="35" t="n">
        <x:v>58.6</x:v>
      </x:c>
      <x:c r="F61" s="41" t="str">
        <x:v>稠度适中，包裹性好，不泌水，不结块，泵送顺畅</x:v>
      </x:c>
      <x:c r="G61" s="38" t="n">
        <x:v>-11</x:v>
      </x:c>
      <x:c r="H61" s="38" t="n">
        <x:v>169</x:v>
      </x:c>
      <x:c r="I61" s="38" t="n">
        <x:v>539</x:v>
      </x:c>
      <x:c r="J61" s="35" t="n">
        <x:v>3.9</x:v>
      </x:c>
      <x:c r="K61" s="29" t="str">
        <x:v>合格</x:v>
      </x:c>
      <x:c r="L61" s="41" t="str">
        <x:v>终止搅拌，直接出料；同步记录台账，留存实测参数备查。</x:v>
      </x:c>
      <x:c r="M61" s="29" t="str">
        <x:v>否</x:v>
      </x:c>
      <x:c r="N61" s="29" t="str">
        <x:f>IF(COUNTIFS('C30规则'!$A$5:$A$9,D61,'C30规则'!$C$5:$C$9,"&lt;="&amp;E61,'C30规则'!$D$5:$D$9,"&gt;="&amp;E61,'C30规则'!$E$5:$E$9,"&lt;="&amp;G61,'C30规则'!$F$5:$F$9,"&gt;="&amp;G61,'C30规则'!$G$5:$G$9,"&lt;="&amp;H61,'C30规则'!$H$5:$H$9,"&gt;="&amp;H61,'C30规则'!$I$5:$I$9,"&lt;="&amp;I61,'C30规则'!$J$5:$J$9,"&gt;="&amp;I61,'C30规则'!$K$5:$K$9,"&lt;="&amp;J61,'C30规则'!$L$5:$L$9,"&gt;="&amp;J61)=1,"通过","检查")</x:f>
        <x:v>通过</x:v>
      </x:c>
      <x:c r="O61" s="29" t="str">
        <x:v>RULE_DERIVED</x:v>
      </x:c>
    </x:row>
    <x:row r="62">
      <x:c r="A62" s="29" t="str">
        <x:v>C30-20260803-008</x:v>
      </x:c>
      <x:c r="B62" s="32" t="n">
        <x:v>46237.57083333333</x:v>
      </x:c>
      <x:c r="C62" s="29" t="str">
        <x:v>C30</x:v>
      </x:c>
      <x:c r="D62" s="29" t="str">
        <x:v>NORMAL</x:v>
      </x:c>
      <x:c r="E62" s="35" t="n">
        <x:v>55.8</x:v>
      </x:c>
      <x:c r="F62" s="41" t="str">
        <x:v>稠度适中，包裹性好，不泌水，不结块，泵送顺畅</x:v>
      </x:c>
      <x:c r="G62" s="38" t="n">
        <x:v>12</x:v>
      </x:c>
      <x:c r="H62" s="38" t="n">
        <x:v>192</x:v>
      </x:c>
      <x:c r="I62" s="38" t="n">
        <x:v>557</x:v>
      </x:c>
      <x:c r="J62" s="35" t="n">
        <x:v>2.7</x:v>
      </x:c>
      <x:c r="K62" s="29" t="str">
        <x:v>合格</x:v>
      </x:c>
      <x:c r="L62" s="41" t="str">
        <x:v>终止搅拌，直接出料；同步记录台账，留存实测参数备查。</x:v>
      </x:c>
      <x:c r="M62" s="29" t="str">
        <x:v>否</x:v>
      </x:c>
      <x:c r="N62" s="29" t="str">
        <x:f>IF(COUNTIFS('C30规则'!$A$5:$A$9,D62,'C30规则'!$C$5:$C$9,"&lt;="&amp;E62,'C30规则'!$D$5:$D$9,"&gt;="&amp;E62,'C30规则'!$E$5:$E$9,"&lt;="&amp;G62,'C30规则'!$F$5:$F$9,"&gt;="&amp;G62,'C30规则'!$G$5:$G$9,"&lt;="&amp;H62,'C30规则'!$H$5:$H$9,"&gt;="&amp;H62,'C30规则'!$I$5:$I$9,"&lt;="&amp;I62,'C30规则'!$J$5:$J$9,"&gt;="&amp;I62,'C30规则'!$K$5:$K$9,"&lt;="&amp;J62,'C30规则'!$L$5:$L$9,"&gt;="&amp;J62)=1,"通过","检查")</x:f>
        <x:v>通过</x:v>
      </x:c>
      <x:c r="O62" s="29" t="str">
        <x:v>RULE_DERIVED</x:v>
      </x:c>
    </x:row>
    <x:row r="63">
      <x:c r="A63" s="29" t="str">
        <x:v>C30-20260803-009</x:v>
      </x:c>
      <x:c r="B63" s="32" t="n">
        <x:v>46237.60277777778</x:v>
      </x:c>
      <x:c r="C63" s="29" t="str">
        <x:v>C30</x:v>
      </x:c>
      <x:c r="D63" s="29" t="str">
        <x:v>DRY_MILD</x:v>
      </x:c>
      <x:c r="E63" s="35" t="n">
        <x:v>67.5</x:v>
      </x:c>
      <x:c r="F63" s="41" t="str">
        <x:v>偏干，骨料微裸露，流动性偏弱</x:v>
      </x:c>
      <x:c r="G63" s="38" t="n">
        <x:v>-26</x:v>
      </x:c>
      <x:c r="H63" s="38" t="n">
        <x:v>154</x:v>
      </x:c>
      <x:c r="I63" s="38" t="n">
        <x:v>503</x:v>
      </x:c>
      <x:c r="J63" s="35" t="n">
        <x:v>5.2</x:v>
      </x:c>
      <x:c r="K63" s="29" t="str">
        <x:v>轻微异常</x:v>
      </x:c>
      <x:c r="L63" s="41" t="str">
        <x:v>优先增加聚羧酸减水剂掺量0.1%，搅拌30s后复测，达标后出料。</x:v>
      </x:c>
      <x:c r="M63" s="29" t="str">
        <x:v>是</x:v>
      </x:c>
      <x:c r="N63" s="29" t="str">
        <x:f>IF(COUNTIFS('C30规则'!$A$5:$A$9,D63,'C30规则'!$C$5:$C$9,"&lt;="&amp;E63,'C30规则'!$D$5:$D$9,"&gt;="&amp;E63,'C30规则'!$E$5:$E$9,"&lt;="&amp;G63,'C30规则'!$F$5:$F$9,"&gt;="&amp;G63,'C30规则'!$G$5:$G$9,"&lt;="&amp;H63,'C30规则'!$H$5:$H$9,"&gt;="&amp;H63,'C30规则'!$I$5:$I$9,"&lt;="&amp;I63,'C30规则'!$J$5:$J$9,"&gt;="&amp;I63,'C30规则'!$K$5:$K$9,"&lt;="&amp;J63,'C30规则'!$L$5:$L$9,"&gt;="&amp;J63)=1,"通过","检查")</x:f>
        <x:v>通过</x:v>
      </x:c>
      <x:c r="O63" s="29" t="str">
        <x:v>RULE_DERIVED</x:v>
      </x:c>
    </x:row>
    <x:row r="64">
      <x:c r="A64" s="29" t="str">
        <x:v>C30-20260803-010</x:v>
      </x:c>
      <x:c r="B64" s="32" t="n">
        <x:v>46237.63402777778</x:v>
      </x:c>
      <x:c r="C64" s="29" t="str">
        <x:v>C30</x:v>
      </x:c>
      <x:c r="D64" s="29" t="str">
        <x:v>NORMAL</x:v>
      </x:c>
      <x:c r="E64" s="35" t="n">
        <x:v>57.8</x:v>
      </x:c>
      <x:c r="F64" s="41" t="str">
        <x:v>稠度适中，包裹性好，不泌水，不结块，泵送顺畅</x:v>
      </x:c>
      <x:c r="G64" s="38" t="n">
        <x:v>-5</x:v>
      </x:c>
      <x:c r="H64" s="38" t="n">
        <x:v>175</x:v>
      </x:c>
      <x:c r="I64" s="38" t="n">
        <x:v>545</x:v>
      </x:c>
      <x:c r="J64" s="35" t="n">
        <x:v>3.7</x:v>
      </x:c>
      <x:c r="K64" s="29" t="str">
        <x:v>合格</x:v>
      </x:c>
      <x:c r="L64" s="41" t="str">
        <x:v>终止搅拌，直接出料；同步记录台账，留存实测参数备查。</x:v>
      </x:c>
      <x:c r="M64" s="29" t="str">
        <x:v>否</x:v>
      </x:c>
      <x:c r="N64" s="29" t="str">
        <x:f>IF(COUNTIFS('C30规则'!$A$5:$A$9,D64,'C30规则'!$C$5:$C$9,"&lt;="&amp;E64,'C30规则'!$D$5:$D$9,"&gt;="&amp;E64,'C30规则'!$E$5:$E$9,"&lt;="&amp;G64,'C30规则'!$F$5:$F$9,"&gt;="&amp;G64,'C30规则'!$G$5:$G$9,"&lt;="&amp;H64,'C30规则'!$H$5:$H$9,"&gt;="&amp;H64,'C30规则'!$I$5:$I$9,"&lt;="&amp;I64,'C30规则'!$J$5:$J$9,"&gt;="&amp;I64,'C30规则'!$K$5:$K$9,"&lt;="&amp;J64,'C30规则'!$L$5:$L$9,"&gt;="&amp;J64)=1,"通过","检查")</x:f>
        <x:v>通过</x:v>
      </x:c>
      <x:c r="O64" s="29" t="str">
        <x:v>RULE_DERIVED</x:v>
      </x:c>
    </x:row>
    <x:row r="65">
      <x:c r="A65" s="29" t="str">
        <x:v>C30-20260804-001</x:v>
      </x:c>
      <x:c r="B65" s="32" t="n">
        <x:v>46238.336805555555</x:v>
      </x:c>
      <x:c r="C65" s="29" t="str">
        <x:v>C30</x:v>
      </x:c>
      <x:c r="D65" s="29" t="str">
        <x:v>DRY_SEVERE</x:v>
      </x:c>
      <x:c r="E65" s="35" t="n">
        <x:v>77.2</x:v>
      </x:c>
      <x:c r="F65" s="41" t="str">
        <x:v>干涩，结块，挂壁，流动性极差，无法泵送</x:v>
      </x:c>
      <x:c r="G65" s="38" t="n">
        <x:v>-51</x:v>
      </x:c>
      <x:c r="H65" s="38" t="n">
        <x:v>129</x:v>
      </x:c>
      <x:c r="I65" s="38" t="n">
        <x:v>464</x:v>
      </x:c>
      <x:c r="J65" s="35" t="n">
        <x:v>6.5</x:v>
      </x:c>
      <x:c r="K65" s="29" t="str">
        <x:v>不合格</x:v>
      </x:c>
      <x:c r="L65" s="41" t="str">
        <x:v>优先补加0.2%减水剂和5kg清水，搅拌60s后复测。</x:v>
      </x:c>
      <x:c r="M65" s="29" t="str">
        <x:v>是</x:v>
      </x:c>
      <x:c r="N65" s="29" t="str">
        <x:f>IF(COUNTIFS('C30规则'!$A$5:$A$9,D65,'C30规则'!$C$5:$C$9,"&lt;="&amp;E65,'C30规则'!$D$5:$D$9,"&gt;="&amp;E65,'C30规则'!$E$5:$E$9,"&lt;="&amp;G65,'C30规则'!$F$5:$F$9,"&gt;="&amp;G65,'C30规则'!$G$5:$G$9,"&lt;="&amp;H65,'C30规则'!$H$5:$H$9,"&gt;="&amp;H65,'C30规则'!$I$5:$I$9,"&lt;="&amp;I65,'C30规则'!$J$5:$J$9,"&gt;="&amp;I65,'C30规则'!$K$5:$K$9,"&lt;="&amp;J65,'C30规则'!$L$5:$L$9,"&gt;="&amp;J65)=1,"通过","检查")</x:f>
        <x:v>通过</x:v>
      </x:c>
      <x:c r="O65" s="29" t="str">
        <x:v>RULE_DERIVED</x:v>
      </x:c>
    </x:row>
    <x:row r="66">
      <x:c r="A66" s="29" t="str">
        <x:v>C30-20260804-002</x:v>
      </x:c>
      <x:c r="B66" s="32" t="n">
        <x:v>46238.370833333334</x:v>
      </x:c>
      <x:c r="C66" s="29" t="str">
        <x:v>C30</x:v>
      </x:c>
      <x:c r="D66" s="29" t="str">
        <x:v>DRY_MILD</x:v>
      </x:c>
      <x:c r="E66" s="35" t="n">
        <x:v>60.7</x:v>
      </x:c>
      <x:c r="F66" s="41" t="str">
        <x:v>偏干，骨料微裸露，流动性偏弱</x:v>
      </x:c>
      <x:c r="G66" s="38" t="n">
        <x:v>-21</x:v>
      </x:c>
      <x:c r="H66" s="38" t="n">
        <x:v>159</x:v>
      </x:c>
      <x:c r="I66" s="38" t="n">
        <x:v>519</x:v>
      </x:c>
      <x:c r="J66" s="35" t="n">
        <x:v>4.7</x:v>
      </x:c>
      <x:c r="K66" s="29" t="str">
        <x:v>轻微异常</x:v>
      </x:c>
      <x:c r="L66" s="41" t="str">
        <x:v>优先增加聚羧酸减水剂掺量0.1%，搅拌30s后复测，达标后出料。</x:v>
      </x:c>
      <x:c r="M66" s="29" t="str">
        <x:v>是</x:v>
      </x:c>
      <x:c r="N66" s="29" t="str">
        <x:f>IF(COUNTIFS('C30规则'!$A$5:$A$9,D66,'C30规则'!$C$5:$C$9,"&lt;="&amp;E66,'C30规则'!$D$5:$D$9,"&gt;="&amp;E66,'C30规则'!$E$5:$E$9,"&lt;="&amp;G66,'C30规则'!$F$5:$F$9,"&gt;="&amp;G66,'C30规则'!$G$5:$G$9,"&lt;="&amp;H66,'C30规则'!$H$5:$H$9,"&gt;="&amp;H66,'C30规则'!$I$5:$I$9,"&lt;="&amp;I66,'C30规则'!$J$5:$J$9,"&gt;="&amp;I66,'C30规则'!$K$5:$K$9,"&lt;="&amp;J66,'C30规则'!$L$5:$L$9,"&gt;="&amp;J66)=1,"通过","检查")</x:f>
        <x:v>通过</x:v>
      </x:c>
      <x:c r="O66" s="29" t="str">
        <x:v>RULE_DERIVED</x:v>
      </x:c>
    </x:row>
    <x:row r="67">
      <x:c r="A67" s="29" t="str">
        <x:v>C30-20260804-003</x:v>
      </x:c>
      <x:c r="B67" s="32" t="n">
        <x:v>46238.40277777778</x:v>
      </x:c>
      <x:c r="C67" s="29" t="str">
        <x:v>C30</x:v>
      </x:c>
      <x:c r="D67" s="29" t="str">
        <x:v>DRY_SEVERE</x:v>
      </x:c>
      <x:c r="E67" s="35" t="n">
        <x:v>77.3</x:v>
      </x:c>
      <x:c r="F67" s="41" t="str">
        <x:v>干涩，结块，挂壁，流动性极差，无法泵送</x:v>
      </x:c>
      <x:c r="G67" s="38" t="n">
        <x:v>-51</x:v>
      </x:c>
      <x:c r="H67" s="38" t="n">
        <x:v>129</x:v>
      </x:c>
      <x:c r="I67" s="38" t="n">
        <x:v>458</x:v>
      </x:c>
      <x:c r="J67" s="35" t="n">
        <x:v>6.6</x:v>
      </x:c>
      <x:c r="K67" s="29" t="str">
        <x:v>不合格</x:v>
      </x:c>
      <x:c r="L67" s="41" t="str">
        <x:v>优先补加0.2%减水剂和5kg清水，搅拌60s后复测。</x:v>
      </x:c>
      <x:c r="M67" s="29" t="str">
        <x:v>是</x:v>
      </x:c>
      <x:c r="N67" s="29" t="str">
        <x:f>IF(COUNTIFS('C30规则'!$A$5:$A$9,D67,'C30规则'!$C$5:$C$9,"&lt;="&amp;E67,'C30规则'!$D$5:$D$9,"&gt;="&amp;E67,'C30规则'!$E$5:$E$9,"&lt;="&amp;G67,'C30规则'!$F$5:$F$9,"&gt;="&amp;G67,'C30规则'!$G$5:$G$9,"&lt;="&amp;H67,'C30规则'!$H$5:$H$9,"&gt;="&amp;H67,'C30规则'!$I$5:$I$9,"&lt;="&amp;I67,'C30规则'!$J$5:$J$9,"&gt;="&amp;I67,'C30规则'!$K$5:$K$9,"&lt;="&amp;J67,'C30规则'!$L$5:$L$9,"&gt;="&amp;J67)=1,"通过","检查")</x:f>
        <x:v>通过</x:v>
      </x:c>
      <x:c r="O67" s="29" t="str">
        <x:v>RULE_DERIVED</x:v>
      </x:c>
    </x:row>
    <x:row r="68">
      <x:c r="A68" s="29" t="str">
        <x:v>C30-20260804-004</x:v>
      </x:c>
      <x:c r="B68" s="32" t="n">
        <x:v>46238.43541666667</x:v>
      </x:c>
      <x:c r="C68" s="29" t="str">
        <x:v>C30</x:v>
      </x:c>
      <x:c r="D68" s="29" t="str">
        <x:v>DRY_SEVERE</x:v>
      </x:c>
      <x:c r="E68" s="35" t="n">
        <x:v>71.4</x:v>
      </x:c>
      <x:c r="F68" s="41" t="str">
        <x:v>干涩，结块，挂壁，流动性极差，无法泵送</x:v>
      </x:c>
      <x:c r="G68" s="38" t="n">
        <x:v>-45</x:v>
      </x:c>
      <x:c r="H68" s="38" t="n">
        <x:v>135</x:v>
      </x:c>
      <x:c r="I68" s="38" t="n">
        <x:v>484</x:v>
      </x:c>
      <x:c r="J68" s="35" t="n">
        <x:v>5.9</x:v>
      </x:c>
      <x:c r="K68" s="29" t="str">
        <x:v>不合格</x:v>
      </x:c>
      <x:c r="L68" s="41" t="str">
        <x:v>优先补加0.2%减水剂和5kg清水，搅拌60s后复测。</x:v>
      </x:c>
      <x:c r="M68" s="29" t="str">
        <x:v>是</x:v>
      </x:c>
      <x:c r="N68" s="29" t="str">
        <x:f>IF(COUNTIFS('C30规则'!$A$5:$A$9,D68,'C30规则'!$C$5:$C$9,"&lt;="&amp;E68,'C30规则'!$D$5:$D$9,"&gt;="&amp;E68,'C30规则'!$E$5:$E$9,"&lt;="&amp;G68,'C30规则'!$F$5:$F$9,"&gt;="&amp;G68,'C30规则'!$G$5:$G$9,"&lt;="&amp;H68,'C30规则'!$H$5:$H$9,"&gt;="&amp;H68,'C30规则'!$I$5:$I$9,"&lt;="&amp;I68,'C30规则'!$J$5:$J$9,"&gt;="&amp;I68,'C30规则'!$K$5:$K$9,"&lt;="&amp;J68,'C30规则'!$L$5:$L$9,"&gt;="&amp;J68)=1,"通过","检查")</x:f>
        <x:v>通过</x:v>
      </x:c>
      <x:c r="O68" s="29" t="str">
        <x:v>RULE_DERIVED</x:v>
      </x:c>
    </x:row>
    <x:row r="69">
      <x:c r="A69" s="29" t="str">
        <x:v>C30-20260804-005</x:v>
      </x:c>
      <x:c r="B69" s="32" t="n">
        <x:v>46238.46875</x:v>
      </x:c>
      <x:c r="C69" s="29" t="str">
        <x:v>C30</x:v>
      </x:c>
      <x:c r="D69" s="29" t="str">
        <x:v>NORMAL</x:v>
      </x:c>
      <x:c r="E69" s="35" t="n">
        <x:v>56.4</x:v>
      </x:c>
      <x:c r="F69" s="41" t="str">
        <x:v>稠度适中，包裹性好，不泌水，不结块，泵送顺畅</x:v>
      </x:c>
      <x:c r="G69" s="38" t="n">
        <x:v>11</x:v>
      </x:c>
      <x:c r="H69" s="38" t="n">
        <x:v>191</x:v>
      </x:c>
      <x:c r="I69" s="38" t="n">
        <x:v>563</x:v>
      </x:c>
      <x:c r="J69" s="35" t="n">
        <x:v>3.1</x:v>
      </x:c>
      <x:c r="K69" s="29" t="str">
        <x:v>合格</x:v>
      </x:c>
      <x:c r="L69" s="41" t="str">
        <x:v>终止搅拌，直接出料；同步记录台账，留存实测参数备查。</x:v>
      </x:c>
      <x:c r="M69" s="29" t="str">
        <x:v>否</x:v>
      </x:c>
      <x:c r="N69" s="29" t="str">
        <x:f>IF(COUNTIFS('C30规则'!$A$5:$A$9,D69,'C30规则'!$C$5:$C$9,"&lt;="&amp;E69,'C30规则'!$D$5:$D$9,"&gt;="&amp;E69,'C30规则'!$E$5:$E$9,"&lt;="&amp;G69,'C30规则'!$F$5:$F$9,"&gt;="&amp;G69,'C30规则'!$G$5:$G$9,"&lt;="&amp;H69,'C30规则'!$H$5:$H$9,"&gt;="&amp;H69,'C30规则'!$I$5:$I$9,"&lt;="&amp;I69,'C30规则'!$J$5:$J$9,"&gt;="&amp;I69,'C30规则'!$K$5:$K$9,"&lt;="&amp;J69,'C30规则'!$L$5:$L$9,"&gt;="&amp;J69)=1,"通过","检查")</x:f>
        <x:v>通过</x:v>
      </x:c>
      <x:c r="O69" s="29" t="str">
        <x:v>RULE_DERIVED</x:v>
      </x:c>
    </x:row>
    <x:row r="70">
      <x:c r="A70" s="29" t="str">
        <x:v>C30-20260804-006</x:v>
      </x:c>
      <x:c r="B70" s="32" t="n">
        <x:v>46238.50347222222</x:v>
      </x:c>
      <x:c r="C70" s="29" t="str">
        <x:v>C30</x:v>
      </x:c>
      <x:c r="D70" s="29" t="str">
        <x:v>DRY_MILD</x:v>
      </x:c>
      <x:c r="E70" s="35" t="n">
        <x:v>68</x:v>
      </x:c>
      <x:c r="F70" s="41" t="str">
        <x:v>偏干，骨料微裸露，流动性偏弱</x:v>
      </x:c>
      <x:c r="G70" s="38" t="n">
        <x:v>-30</x:v>
      </x:c>
      <x:c r="H70" s="38" t="n">
        <x:v>150</x:v>
      </x:c>
      <x:c r="I70" s="38" t="n">
        <x:v>505</x:v>
      </x:c>
      <x:c r="J70" s="35" t="n">
        <x:v>5.4</x:v>
      </x:c>
      <x:c r="K70" s="29" t="str">
        <x:v>轻微异常</x:v>
      </x:c>
      <x:c r="L70" s="41" t="str">
        <x:v>优先增加聚羧酸减水剂掺量0.1%，搅拌30s后复测，达标后出料。</x:v>
      </x:c>
      <x:c r="M70" s="29" t="str">
        <x:v>是</x:v>
      </x:c>
      <x:c r="N70" s="29" t="str">
        <x:f>IF(COUNTIFS('C30规则'!$A$5:$A$9,D70,'C30规则'!$C$5:$C$9,"&lt;="&amp;E70,'C30规则'!$D$5:$D$9,"&gt;="&amp;E70,'C30规则'!$E$5:$E$9,"&lt;="&amp;G70,'C30规则'!$F$5:$F$9,"&gt;="&amp;G70,'C30规则'!$G$5:$G$9,"&lt;="&amp;H70,'C30规则'!$H$5:$H$9,"&gt;="&amp;H70,'C30规则'!$I$5:$I$9,"&lt;="&amp;I70,'C30规则'!$J$5:$J$9,"&gt;="&amp;I70,'C30规则'!$K$5:$K$9,"&lt;="&amp;J70,'C30规则'!$L$5:$L$9,"&gt;="&amp;J70)=1,"通过","检查")</x:f>
        <x:v>通过</x:v>
      </x:c>
      <x:c r="O70" s="29" t="str">
        <x:v>RULE_DERIVED</x:v>
      </x:c>
    </x:row>
    <x:row r="71">
      <x:c r="A71" s="29" t="str">
        <x:v>C30-20260804-007</x:v>
      </x:c>
      <x:c r="B71" s="32" t="n">
        <x:v>46238.5375</x:v>
      </x:c>
      <x:c r="C71" s="29" t="str">
        <x:v>C30</x:v>
      </x:c>
      <x:c r="D71" s="29" t="str">
        <x:v>WET_MILD</x:v>
      </x:c>
      <x:c r="E71" s="35" t="n">
        <x:v>52.4</x:v>
      </x:c>
      <x:c r="F71" s="41" t="str">
        <x:v>偏稀，流动性偏大，无泌水</x:v>
      </x:c>
      <x:c r="G71" s="38" t="n">
        <x:v>23</x:v>
      </x:c>
      <x:c r="H71" s="38" t="n">
        <x:v>203</x:v>
      </x:c>
      <x:c r="I71" s="38" t="n">
        <x:v>595</x:v>
      </x:c>
      <x:c r="J71" s="35" t="n">
        <x:v>2.2</x:v>
      </x:c>
      <x:c r="K71" s="29" t="str">
        <x:v>轻微异常</x:v>
      </x:c>
      <x:c r="L71" s="41" t="str">
        <x:v>加入5–8kg/m³干砂，搅拌30s后复测，达标后正常出料并观察泵送。</x:v>
      </x:c>
      <x:c r="M71" s="29" t="str">
        <x:v>是</x:v>
      </x:c>
      <x:c r="N71" s="29" t="str">
        <x:f>IF(COUNTIFS('C30规则'!$A$5:$A$9,D71,'C30规则'!$C$5:$C$9,"&lt;="&amp;E71,'C30规则'!$D$5:$D$9,"&gt;="&amp;E71,'C30规则'!$E$5:$E$9,"&lt;="&amp;G71,'C30规则'!$F$5:$F$9,"&gt;="&amp;G71,'C30规则'!$G$5:$G$9,"&lt;="&amp;H71,'C30规则'!$H$5:$H$9,"&gt;="&amp;H71,'C30规则'!$I$5:$I$9,"&lt;="&amp;I71,'C30规则'!$J$5:$J$9,"&gt;="&amp;I71,'C30规则'!$K$5:$K$9,"&lt;="&amp;J71,'C30规则'!$L$5:$L$9,"&gt;="&amp;J71)=1,"通过","检查")</x:f>
        <x:v>通过</x:v>
      </x:c>
      <x:c r="O71" s="29" t="str">
        <x:v>RULE_DERIVED</x:v>
      </x:c>
    </x:row>
    <x:row r="72">
      <x:c r="A72" s="29" t="str">
        <x:v>C30-20260804-008</x:v>
      </x:c>
      <x:c r="B72" s="32" t="n">
        <x:v>46238.566666666666</x:v>
      </x:c>
      <x:c r="C72" s="29" t="str">
        <x:v>C30</x:v>
      </x:c>
      <x:c r="D72" s="29" t="str">
        <x:v>NORMAL</x:v>
      </x:c>
      <x:c r="E72" s="35" t="n">
        <x:v>57.9</x:v>
      </x:c>
      <x:c r="F72" s="41" t="str">
        <x:v>稠度适中，包裹性好，不泌水，不结块，泵送顺畅</x:v>
      </x:c>
      <x:c r="G72" s="38" t="n">
        <x:v>-5</x:v>
      </x:c>
      <x:c r="H72" s="38" t="n">
        <x:v>175</x:v>
      </x:c>
      <x:c r="I72" s="38" t="n">
        <x:v>547</x:v>
      </x:c>
      <x:c r="J72" s="35" t="n">
        <x:v>3.6</x:v>
      </x:c>
      <x:c r="K72" s="29" t="str">
        <x:v>合格</x:v>
      </x:c>
      <x:c r="L72" s="41" t="str">
        <x:v>终止搅拌，直接出料；同步记录台账，留存实测参数备查。</x:v>
      </x:c>
      <x:c r="M72" s="29" t="str">
        <x:v>否</x:v>
      </x:c>
      <x:c r="N72" s="29" t="str">
        <x:f>IF(COUNTIFS('C30规则'!$A$5:$A$9,D72,'C30规则'!$C$5:$C$9,"&lt;="&amp;E72,'C30规则'!$D$5:$D$9,"&gt;="&amp;E72,'C30规则'!$E$5:$E$9,"&lt;="&amp;G72,'C30规则'!$F$5:$F$9,"&gt;="&amp;G72,'C30规则'!$G$5:$G$9,"&lt;="&amp;H72,'C30规则'!$H$5:$H$9,"&gt;="&amp;H72,'C30规则'!$I$5:$I$9,"&lt;="&amp;I72,'C30规则'!$J$5:$J$9,"&gt;="&amp;I72,'C30规则'!$K$5:$K$9,"&lt;="&amp;J72,'C30规则'!$L$5:$L$9,"&gt;="&amp;J72)=1,"通过","检查")</x:f>
        <x:v>通过</x:v>
      </x:c>
      <x:c r="O72" s="29" t="str">
        <x:v>RULE_DERIVED</x:v>
      </x:c>
    </x:row>
    <x:row r="73">
      <x:c r="A73" s="29" t="str">
        <x:v>C30-20260804-009</x:v>
      </x:c>
      <x:c r="B73" s="32" t="n">
        <x:v>46238.603472222225</x:v>
      </x:c>
      <x:c r="C73" s="29" t="str">
        <x:v>C30</x:v>
      </x:c>
      <x:c r="D73" s="29" t="str">
        <x:v>DRY_SEVERE</x:v>
      </x:c>
      <x:c r="E73" s="35" t="n">
        <x:v>75.3</x:v>
      </x:c>
      <x:c r="F73" s="41" t="str">
        <x:v>干涩，结块，挂壁，流动性极差，无法泵送</x:v>
      </x:c>
      <x:c r="G73" s="38" t="n">
        <x:v>-47</x:v>
      </x:c>
      <x:c r="H73" s="38" t="n">
        <x:v>133</x:v>
      </x:c>
      <x:c r="I73" s="38" t="n">
        <x:v>467</x:v>
      </x:c>
      <x:c r="J73" s="35" t="n">
        <x:v>6.2</x:v>
      </x:c>
      <x:c r="K73" s="29" t="str">
        <x:v>不合格</x:v>
      </x:c>
      <x:c r="L73" s="41" t="str">
        <x:v>优先补加0.2%减水剂和5kg清水，搅拌60s后复测。</x:v>
      </x:c>
      <x:c r="M73" s="29" t="str">
        <x:v>是</x:v>
      </x:c>
      <x:c r="N73" s="29" t="str">
        <x:f>IF(COUNTIFS('C30规则'!$A$5:$A$9,D73,'C30规则'!$C$5:$C$9,"&lt;="&amp;E73,'C30规则'!$D$5:$D$9,"&gt;="&amp;E73,'C30规则'!$E$5:$E$9,"&lt;="&amp;G73,'C30规则'!$F$5:$F$9,"&gt;="&amp;G73,'C30规则'!$G$5:$G$9,"&lt;="&amp;H73,'C30规则'!$H$5:$H$9,"&gt;="&amp;H73,'C30规则'!$I$5:$I$9,"&lt;="&amp;I73,'C30规则'!$J$5:$J$9,"&gt;="&amp;I73,'C30规则'!$K$5:$K$9,"&lt;="&amp;J73,'C30规则'!$L$5:$L$9,"&gt;="&amp;J73)=1,"通过","检查")</x:f>
        <x:v>通过</x:v>
      </x:c>
      <x:c r="O73" s="29" t="str">
        <x:v>RULE_DERIVED</x:v>
      </x:c>
    </x:row>
    <x:row r="74">
      <x:c r="A74" s="29" t="str">
        <x:v>C30-20260804-010</x:v>
      </x:c>
      <x:c r="B74" s="32" t="n">
        <x:v>46238.6375</x:v>
      </x:c>
      <x:c r="C74" s="29" t="str">
        <x:v>C30</x:v>
      </x:c>
      <x:c r="D74" s="29" t="str">
        <x:v>NORMAL</x:v>
      </x:c>
      <x:c r="E74" s="35" t="n">
        <x:v>59</x:v>
      </x:c>
      <x:c r="F74" s="41" t="str">
        <x:v>稠度适中，包裹性好，不泌水，不结块，泵送顺畅</x:v>
      </x:c>
      <x:c r="G74" s="38" t="n">
        <x:v>-9</x:v>
      </x:c>
      <x:c r="H74" s="38" t="n">
        <x:v>171</x:v>
      </x:c>
      <x:c r="I74" s="38" t="n">
        <x:v>535</x:v>
      </x:c>
      <x:c r="J74" s="35" t="n">
        <x:v>4.2</x:v>
      </x:c>
      <x:c r="K74" s="29" t="str">
        <x:v>合格</x:v>
      </x:c>
      <x:c r="L74" s="41" t="str">
        <x:v>终止搅拌，直接出料；同步记录台账，留存实测参数备查。</x:v>
      </x:c>
      <x:c r="M74" s="29" t="str">
        <x:v>否</x:v>
      </x:c>
      <x:c r="N74" s="29" t="str">
        <x:f>IF(COUNTIFS('C30规则'!$A$5:$A$9,D74,'C30规则'!$C$5:$C$9,"&lt;="&amp;E74,'C30规则'!$D$5:$D$9,"&gt;="&amp;E74,'C30规则'!$E$5:$E$9,"&lt;="&amp;G74,'C30规则'!$F$5:$F$9,"&gt;="&amp;G74,'C30规则'!$G$5:$G$9,"&lt;="&amp;H74,'C30规则'!$H$5:$H$9,"&gt;="&amp;H74,'C30规则'!$I$5:$I$9,"&lt;="&amp;I74,'C30规则'!$J$5:$J$9,"&gt;="&amp;I74,'C30规则'!$K$5:$K$9,"&lt;="&amp;J74,'C30规则'!$L$5:$L$9,"&gt;="&amp;J74)=1,"通过","检查")</x:f>
        <x:v>通过</x:v>
      </x:c>
      <x:c r="O74" s="29" t="str">
        <x:v>RULE_DERIVED</x:v>
      </x:c>
    </x:row>
    <x:row r="75">
      <x:c r="A75" s="29" t="str">
        <x:v>C30-20260805-001</x:v>
      </x:c>
      <x:c r="B75" s="32" t="n">
        <x:v>46239.3375</x:v>
      </x:c>
      <x:c r="C75" s="29" t="str">
        <x:v>C30</x:v>
      </x:c>
      <x:c r="D75" s="29" t="str">
        <x:v>WET_MILD</x:v>
      </x:c>
      <x:c r="E75" s="35" t="n">
        <x:v>54.1</x:v>
      </x:c>
      <x:c r="F75" s="41" t="str">
        <x:v>偏稀，流动性偏大，无泌水</x:v>
      </x:c>
      <x:c r="G75" s="38" t="n">
        <x:v>22</x:v>
      </x:c>
      <x:c r="H75" s="38" t="n">
        <x:v>202</x:v>
      </x:c>
      <x:c r="I75" s="38" t="n">
        <x:v>581</x:v>
      </x:c>
      <x:c r="J75" s="35" t="n">
        <x:v>2.3</x:v>
      </x:c>
      <x:c r="K75" s="29" t="str">
        <x:v>轻微异常</x:v>
      </x:c>
      <x:c r="L75" s="41" t="str">
        <x:v>加入5–8kg/m³干砂，搅拌30s后复测，达标后正常出料并观察泵送。</x:v>
      </x:c>
      <x:c r="M75" s="29" t="str">
        <x:v>是</x:v>
      </x:c>
      <x:c r="N75" s="29" t="str">
        <x:f>IF(COUNTIFS('C30规则'!$A$5:$A$9,D75,'C30规则'!$C$5:$C$9,"&lt;="&amp;E75,'C30规则'!$D$5:$D$9,"&gt;="&amp;E75,'C30规则'!$E$5:$E$9,"&lt;="&amp;G75,'C30规则'!$F$5:$F$9,"&gt;="&amp;G75,'C30规则'!$G$5:$G$9,"&lt;="&amp;H75,'C30规则'!$H$5:$H$9,"&gt;="&amp;H75,'C30规则'!$I$5:$I$9,"&lt;="&amp;I75,'C30规则'!$J$5:$J$9,"&gt;="&amp;I75,'C30规则'!$K$5:$K$9,"&lt;="&amp;J75,'C30规则'!$L$5:$L$9,"&gt;="&amp;J75)=1,"通过","检查")</x:f>
        <x:v>通过</x:v>
      </x:c>
      <x:c r="O75" s="29" t="str">
        <x:v>RULE_DERIVED</x:v>
      </x:c>
    </x:row>
    <x:row r="76">
      <x:c r="A76" s="29" t="str">
        <x:v>C30-20260805-002</x:v>
      </x:c>
      <x:c r="B76" s="32" t="n">
        <x:v>46239.36666666667</x:v>
      </x:c>
      <x:c r="C76" s="29" t="str">
        <x:v>C30</x:v>
      </x:c>
      <x:c r="D76" s="29" t="str">
        <x:v>DRY_MILD</x:v>
      </x:c>
      <x:c r="E76" s="35" t="n">
        <x:v>66.6</x:v>
      </x:c>
      <x:c r="F76" s="41" t="str">
        <x:v>偏干，骨料微裸露，流动性偏弱</x:v>
      </x:c>
      <x:c r="G76" s="38" t="n">
        <x:v>-29</x:v>
      </x:c>
      <x:c r="H76" s="38" t="n">
        <x:v>151</x:v>
      </x:c>
      <x:c r="I76" s="38" t="n">
        <x:v>511</x:v>
      </x:c>
      <x:c r="J76" s="35" t="n">
        <x:v>5.3</x:v>
      </x:c>
      <x:c r="K76" s="29" t="str">
        <x:v>轻微异常</x:v>
      </x:c>
      <x:c r="L76" s="41" t="str">
        <x:v>优先增加聚羧酸减水剂掺量0.1%，搅拌30s后复测，达标后出料。</x:v>
      </x:c>
      <x:c r="M76" s="29" t="str">
        <x:v>是</x:v>
      </x:c>
      <x:c r="N76" s="29" t="str">
        <x:f>IF(COUNTIFS('C30规则'!$A$5:$A$9,D76,'C30规则'!$C$5:$C$9,"&lt;="&amp;E76,'C30规则'!$D$5:$D$9,"&gt;="&amp;E76,'C30规则'!$E$5:$E$9,"&lt;="&amp;G76,'C30规则'!$F$5:$F$9,"&gt;="&amp;G76,'C30规则'!$G$5:$G$9,"&lt;="&amp;H76,'C30规则'!$H$5:$H$9,"&gt;="&amp;H76,'C30规则'!$I$5:$I$9,"&lt;="&amp;I76,'C30规则'!$J$5:$J$9,"&gt;="&amp;I76,'C30规则'!$K$5:$K$9,"&lt;="&amp;J76,'C30规则'!$L$5:$L$9,"&gt;="&amp;J76)=1,"通过","检查")</x:f>
        <x:v>通过</x:v>
      </x:c>
      <x:c r="O76" s="29" t="str">
        <x:v>RULE_DERIVED</x:v>
      </x:c>
    </x:row>
    <x:row r="77">
      <x:c r="A77" s="29" t="str">
        <x:v>C30-20260805-003</x:v>
      </x:c>
      <x:c r="B77" s="32" t="n">
        <x:v>46239.404861111114</x:v>
      </x:c>
      <x:c r="C77" s="29" t="str">
        <x:v>C30</x:v>
      </x:c>
      <x:c r="D77" s="29" t="str">
        <x:v>NORMAL</x:v>
      </x:c>
      <x:c r="E77" s="35" t="n">
        <x:v>56</x:v>
      </x:c>
      <x:c r="F77" s="41" t="str">
        <x:v>稠度适中，包裹性好，不泌水，不结块，泵送顺畅</x:v>
      </x:c>
      <x:c r="G77" s="38" t="n">
        <x:v>9</x:v>
      </x:c>
      <x:c r="H77" s="38" t="n">
        <x:v>189</x:v>
      </x:c>
      <x:c r="I77" s="38" t="n">
        <x:v>566</x:v>
      </x:c>
      <x:c r="J77" s="35" t="n">
        <x:v>2.8</x:v>
      </x:c>
      <x:c r="K77" s="29" t="str">
        <x:v>合格</x:v>
      </x:c>
      <x:c r="L77" s="41" t="str">
        <x:v>终止搅拌，直接出料；同步记录台账，留存实测参数备查。</x:v>
      </x:c>
      <x:c r="M77" s="29" t="str">
        <x:v>否</x:v>
      </x:c>
      <x:c r="N77" s="29" t="str">
        <x:f>IF(COUNTIFS('C30规则'!$A$5:$A$9,D77,'C30规则'!$C$5:$C$9,"&lt;="&amp;E77,'C30规则'!$D$5:$D$9,"&gt;="&amp;E77,'C30规则'!$E$5:$E$9,"&lt;="&amp;G77,'C30规则'!$F$5:$F$9,"&gt;="&amp;G77,'C30规则'!$G$5:$G$9,"&lt;="&amp;H77,'C30规则'!$H$5:$H$9,"&gt;="&amp;H77,'C30规则'!$I$5:$I$9,"&lt;="&amp;I77,'C30规则'!$J$5:$J$9,"&gt;="&amp;I77,'C30规则'!$K$5:$K$9,"&lt;="&amp;J77,'C30规则'!$L$5:$L$9,"&gt;="&amp;J77)=1,"通过","检查")</x:f>
        <x:v>通过</x:v>
      </x:c>
      <x:c r="O77" s="29" t="str">
        <x:v>RULE_DERIVED</x:v>
      </x:c>
    </x:row>
    <x:row r="78">
      <x:c r="A78" s="29" t="str">
        <x:v>C30-20260805-004</x:v>
      </x:c>
      <x:c r="B78" s="32" t="n">
        <x:v>46239.43680555555</x:v>
      </x:c>
      <x:c r="C78" s="29" t="str">
        <x:v>C30</x:v>
      </x:c>
      <x:c r="D78" s="29" t="str">
        <x:v>NORMAL</x:v>
      </x:c>
      <x:c r="E78" s="35" t="n">
        <x:v>56.6</x:v>
      </x:c>
      <x:c r="F78" s="41" t="str">
        <x:v>稠度适中，包裹性好，不泌水，不结块，泵送顺畅</x:v>
      </x:c>
      <x:c r="G78" s="38" t="n">
        <x:v>7</x:v>
      </x:c>
      <x:c r="H78" s="38" t="n">
        <x:v>187</x:v>
      </x:c>
      <x:c r="I78" s="38" t="n">
        <x:v>561</x:v>
      </x:c>
      <x:c r="J78" s="35" t="n">
        <x:v>3.1</x:v>
      </x:c>
      <x:c r="K78" s="29" t="str">
        <x:v>合格</x:v>
      </x:c>
      <x:c r="L78" s="41" t="str">
        <x:v>终止搅拌，直接出料；同步记录台账，留存实测参数备查。</x:v>
      </x:c>
      <x:c r="M78" s="29" t="str">
        <x:v>否</x:v>
      </x:c>
      <x:c r="N78" s="29" t="str">
        <x:f>IF(COUNTIFS('C30规则'!$A$5:$A$9,D78,'C30规则'!$C$5:$C$9,"&lt;="&amp;E78,'C30规则'!$D$5:$D$9,"&gt;="&amp;E78,'C30规则'!$E$5:$E$9,"&lt;="&amp;G78,'C30规则'!$F$5:$F$9,"&gt;="&amp;G78,'C30规则'!$G$5:$G$9,"&lt;="&amp;H78,'C30规则'!$H$5:$H$9,"&gt;="&amp;H78,'C30规则'!$I$5:$I$9,"&lt;="&amp;I78,'C30规则'!$J$5:$J$9,"&gt;="&amp;I78,'C30规则'!$K$5:$K$9,"&lt;="&amp;J78,'C30规则'!$L$5:$L$9,"&gt;="&amp;J78)=1,"通过","检查")</x:f>
        <x:v>通过</x:v>
      </x:c>
      <x:c r="O78" s="29" t="str">
        <x:v>RULE_DERIVED</x:v>
      </x:c>
    </x:row>
    <x:row r="79">
      <x:c r="A79" s="29" t="str">
        <x:v>C30-20260805-005</x:v>
      </x:c>
      <x:c r="B79" s="32" t="n">
        <x:v>46239.46805555555</x:v>
      </x:c>
      <x:c r="C79" s="29" t="str">
        <x:v>C30</x:v>
      </x:c>
      <x:c r="D79" s="29" t="str">
        <x:v>DRY_MILD</x:v>
      </x:c>
      <x:c r="E79" s="35" t="n">
        <x:v>63.8</x:v>
      </x:c>
      <x:c r="F79" s="41" t="str">
        <x:v>偏干，骨料微裸露，流动性偏弱</x:v>
      </x:c>
      <x:c r="G79" s="38" t="n">
        <x:v>-25</x:v>
      </x:c>
      <x:c r="H79" s="38" t="n">
        <x:v>155</x:v>
      </x:c>
      <x:c r="I79" s="38" t="n">
        <x:v>519</x:v>
      </x:c>
      <x:c r="J79" s="35" t="n">
        <x:v>4.9</x:v>
      </x:c>
      <x:c r="K79" s="29" t="str">
        <x:v>轻微异常</x:v>
      </x:c>
      <x:c r="L79" s="41" t="str">
        <x:v>优先增加聚羧酸减水剂掺量0.1%，搅拌30s后复测，达标后出料。</x:v>
      </x:c>
      <x:c r="M79" s="29" t="str">
        <x:v>是</x:v>
      </x:c>
      <x:c r="N79" s="29" t="str">
        <x:f>IF(COUNTIFS('C30规则'!$A$5:$A$9,D79,'C30规则'!$C$5:$C$9,"&lt;="&amp;E79,'C30规则'!$D$5:$D$9,"&gt;="&amp;E79,'C30规则'!$E$5:$E$9,"&lt;="&amp;G79,'C30规则'!$F$5:$F$9,"&gt;="&amp;G79,'C30规则'!$G$5:$G$9,"&lt;="&amp;H79,'C30规则'!$H$5:$H$9,"&gt;="&amp;H79,'C30规则'!$I$5:$I$9,"&lt;="&amp;I79,'C30规则'!$J$5:$J$9,"&gt;="&amp;I79,'C30规则'!$K$5:$K$9,"&lt;="&amp;J79,'C30规则'!$L$5:$L$9,"&gt;="&amp;J79)=1,"通过","检查")</x:f>
        <x:v>通过</x:v>
      </x:c>
      <x:c r="O79" s="29" t="str">
        <x:v>RULE_DERIVED</x:v>
      </x:c>
    </x:row>
    <x:row r="80">
      <x:c r="A80" s="29" t="str">
        <x:v>C30-20260805-006</x:v>
      </x:c>
      <x:c r="B80" s="32" t="n">
        <x:v>46239.50069444445</x:v>
      </x:c>
      <x:c r="C80" s="29" t="str">
        <x:v>C30</x:v>
      </x:c>
      <x:c r="D80" s="29" t="str">
        <x:v>WET_SEVERE</x:v>
      </x:c>
      <x:c r="E80" s="35" t="n">
        <x:v>41.2</x:v>
      </x:c>
      <x:c r="F80" s="41" t="str">
        <x:v>过稀，泌水，离析，骨料下沉，存在堵泵风险</x:v>
      </x:c>
      <x:c r="G80" s="38" t="n">
        <x:v>55</x:v>
      </x:c>
      <x:c r="H80" s="38" t="n">
        <x:v>235</x:v>
      </x:c>
      <x:c r="I80" s="38" t="n">
        <x:v>660</x:v>
      </x:c>
      <x:c r="J80" s="35" t="n">
        <x:v>1</x:v>
      </x:c>
      <x:c r="K80" s="29" t="str">
        <x:v>不合格</x:v>
      </x:c>
      <x:c r="L80" s="41" t="str">
        <x:v>立即暂停出料；加入10–12kg/m³干砂和3–5kg/m³水泥，搅拌60s后复测；仍离析则废弃并排查计量系统。</x:v>
      </x:c>
      <x:c r="M80" s="29" t="str">
        <x:v>是</x:v>
      </x:c>
      <x:c r="N80" s="29" t="str">
        <x:f>IF(COUNTIFS('C30规则'!$A$5:$A$9,D80,'C30规则'!$C$5:$C$9,"&lt;="&amp;E80,'C30规则'!$D$5:$D$9,"&gt;="&amp;E80,'C30规则'!$E$5:$E$9,"&lt;="&amp;G80,'C30规则'!$F$5:$F$9,"&gt;="&amp;G80,'C30规则'!$G$5:$G$9,"&lt;="&amp;H80,'C30规则'!$H$5:$H$9,"&gt;="&amp;H80,'C30规则'!$I$5:$I$9,"&lt;="&amp;I80,'C30规则'!$J$5:$J$9,"&gt;="&amp;I80,'C30规则'!$K$5:$K$9,"&lt;="&amp;J80,'C30规则'!$L$5:$L$9,"&gt;="&amp;J80)=1,"通过","检查")</x:f>
        <x:v>通过</x:v>
      </x:c>
      <x:c r="O80" s="29" t="str">
        <x:v>RULE_DERIVED</x:v>
      </x:c>
    </x:row>
    <x:row r="81">
      <x:c r="A81" s="29" t="str">
        <x:v>C30-20260805-007</x:v>
      </x:c>
      <x:c r="B81" s="32" t="n">
        <x:v>46239.535416666666</x:v>
      </x:c>
      <x:c r="C81" s="29" t="str">
        <x:v>C30</x:v>
      </x:c>
      <x:c r="D81" s="29" t="str">
        <x:v>NORMAL</x:v>
      </x:c>
      <x:c r="E81" s="35" t="n">
        <x:v>57.9</x:v>
      </x:c>
      <x:c r="F81" s="41" t="str">
        <x:v>稠度适中，包裹性好，不泌水，不结块，泵送顺畅</x:v>
      </x:c>
      <x:c r="G81" s="38" t="n">
        <x:v>-4</x:v>
      </x:c>
      <x:c r="H81" s="38" t="n">
        <x:v>176</x:v>
      </x:c>
      <x:c r="I81" s="38" t="n">
        <x:v>540</x:v>
      </x:c>
      <x:c r="J81" s="35" t="n">
        <x:v>3.8</x:v>
      </x:c>
      <x:c r="K81" s="29" t="str">
        <x:v>合格</x:v>
      </x:c>
      <x:c r="L81" s="41" t="str">
        <x:v>终止搅拌，直接出料；同步记录台账，留存实测参数备查。</x:v>
      </x:c>
      <x:c r="M81" s="29" t="str">
        <x:v>否</x:v>
      </x:c>
      <x:c r="N81" s="29" t="str">
        <x:f>IF(COUNTIFS('C30规则'!$A$5:$A$9,D81,'C30规则'!$C$5:$C$9,"&lt;="&amp;E81,'C30规则'!$D$5:$D$9,"&gt;="&amp;E81,'C30规则'!$E$5:$E$9,"&lt;="&amp;G81,'C30规则'!$F$5:$F$9,"&gt;="&amp;G81,'C30规则'!$G$5:$G$9,"&lt;="&amp;H81,'C30规则'!$H$5:$H$9,"&gt;="&amp;H81,'C30规则'!$I$5:$I$9,"&lt;="&amp;I81,'C30规则'!$J$5:$J$9,"&gt;="&amp;I81,'C30规则'!$K$5:$K$9,"&lt;="&amp;J81,'C30规则'!$L$5:$L$9,"&gt;="&amp;J81)=1,"通过","检查")</x:f>
        <x:v>通过</x:v>
      </x:c>
      <x:c r="O81" s="29" t="str">
        <x:v>RULE_DERIVED</x:v>
      </x:c>
    </x:row>
    <x:row r="82">
      <x:c r="A82" s="29" t="str">
        <x:v>C30-20260805-008</x:v>
      </x:c>
      <x:c r="B82" s="32" t="n">
        <x:v>46239.57152777778</x:v>
      </x:c>
      <x:c r="C82" s="29" t="str">
        <x:v>C30</x:v>
      </x:c>
      <x:c r="D82" s="29" t="str">
        <x:v>NORMAL</x:v>
      </x:c>
      <x:c r="E82" s="35" t="n">
        <x:v>55.5</x:v>
      </x:c>
      <x:c r="F82" s="41" t="str">
        <x:v>稠度适中，包裹性好，不泌水，不结块，泵送顺畅</x:v>
      </x:c>
      <x:c r="G82" s="38" t="n">
        <x:v>17</x:v>
      </x:c>
      <x:c r="H82" s="38" t="n">
        <x:v>197</x:v>
      </x:c>
      <x:c r="I82" s="38" t="n">
        <x:v>569</x:v>
      </x:c>
      <x:c r="J82" s="35" t="n">
        <x:v>2.8</x:v>
      </x:c>
      <x:c r="K82" s="29" t="str">
        <x:v>合格</x:v>
      </x:c>
      <x:c r="L82" s="41" t="str">
        <x:v>终止搅拌，直接出料；同步记录台账，留存实测参数备查。</x:v>
      </x:c>
      <x:c r="M82" s="29" t="str">
        <x:v>否</x:v>
      </x:c>
      <x:c r="N82" s="29" t="str">
        <x:f>IF(COUNTIFS('C30规则'!$A$5:$A$9,D82,'C30规则'!$C$5:$C$9,"&lt;="&amp;E82,'C30规则'!$D$5:$D$9,"&gt;="&amp;E82,'C30规则'!$E$5:$E$9,"&lt;="&amp;G82,'C30规则'!$F$5:$F$9,"&gt;="&amp;G82,'C30规则'!$G$5:$G$9,"&lt;="&amp;H82,'C30规则'!$H$5:$H$9,"&gt;="&amp;H82,'C30规则'!$I$5:$I$9,"&lt;="&amp;I82,'C30规则'!$J$5:$J$9,"&gt;="&amp;I82,'C30规则'!$K$5:$K$9,"&lt;="&amp;J82,'C30规则'!$L$5:$L$9,"&gt;="&amp;J82)=1,"通过","检查")</x:f>
        <x:v>通过</x:v>
      </x:c>
      <x:c r="O82" s="29" t="str">
        <x:v>RULE_DERIVED</x:v>
      </x:c>
    </x:row>
    <x:row r="83">
      <x:c r="A83" s="29" t="str">
        <x:v>C30-20260805-009</x:v>
      </x:c>
      <x:c r="B83" s="32" t="n">
        <x:v>46239.6</x:v>
      </x:c>
      <x:c r="C83" s="29" t="str">
        <x:v>C30</x:v>
      </x:c>
      <x:c r="D83" s="29" t="str">
        <x:v>NORMAL</x:v>
      </x:c>
      <x:c r="E83" s="35" t="n">
        <x:v>55.4</x:v>
      </x:c>
      <x:c r="F83" s="41" t="str">
        <x:v>稠度适中，包裹性好，不泌水，不结块，泵送顺畅</x:v>
      </x:c>
      <x:c r="G83" s="38" t="n">
        <x:v>18</x:v>
      </x:c>
      <x:c r="H83" s="38" t="n">
        <x:v>198</x:v>
      </x:c>
      <x:c r="I83" s="38" t="n">
        <x:v>564</x:v>
      </x:c>
      <x:c r="J83" s="35" t="n">
        <x:v>2.7</x:v>
      </x:c>
      <x:c r="K83" s="29" t="str">
        <x:v>合格</x:v>
      </x:c>
      <x:c r="L83" s="41" t="str">
        <x:v>终止搅拌，直接出料；同步记录台账，留存实测参数备查。</x:v>
      </x:c>
      <x:c r="M83" s="29" t="str">
        <x:v>否</x:v>
      </x:c>
      <x:c r="N83" s="29" t="str">
        <x:f>IF(COUNTIFS('C30规则'!$A$5:$A$9,D83,'C30规则'!$C$5:$C$9,"&lt;="&amp;E83,'C30规则'!$D$5:$D$9,"&gt;="&amp;E83,'C30规则'!$E$5:$E$9,"&lt;="&amp;G83,'C30规则'!$F$5:$F$9,"&gt;="&amp;G83,'C30规则'!$G$5:$G$9,"&lt;="&amp;H83,'C30规则'!$H$5:$H$9,"&gt;="&amp;H83,'C30规则'!$I$5:$I$9,"&lt;="&amp;I83,'C30规则'!$J$5:$J$9,"&gt;="&amp;I83,'C30规则'!$K$5:$K$9,"&lt;="&amp;J83,'C30规则'!$L$5:$L$9,"&gt;="&amp;J83)=1,"通过","检查")</x:f>
        <x:v>通过</x:v>
      </x:c>
      <x:c r="O83" s="29" t="str">
        <x:v>RULE_DERIVED</x:v>
      </x:c>
    </x:row>
    <x:row r="84">
      <x:c r="A84" s="29" t="str">
        <x:v>C30-20260805-010</x:v>
      </x:c>
      <x:c r="B84" s="32" t="n">
        <x:v>46239.63611111111</x:v>
      </x:c>
      <x:c r="C84" s="29" t="str">
        <x:v>C30</x:v>
      </x:c>
      <x:c r="D84" s="29" t="str">
        <x:v>NORMAL</x:v>
      </x:c>
      <x:c r="E84" s="35" t="n">
        <x:v>56.4</x:v>
      </x:c>
      <x:c r="F84" s="41" t="str">
        <x:v>稠度适中，包裹性好，不泌水，不结块，泵送顺畅</x:v>
      </x:c>
      <x:c r="G84" s="38" t="n">
        <x:v>12</x:v>
      </x:c>
      <x:c r="H84" s="38" t="n">
        <x:v>192</x:v>
      </x:c>
      <x:c r="I84" s="38" t="n">
        <x:v>564</x:v>
      </x:c>
      <x:c r="J84" s="35" t="n">
        <x:v>2.9</x:v>
      </x:c>
      <x:c r="K84" s="29" t="str">
        <x:v>合格</x:v>
      </x:c>
      <x:c r="L84" s="41" t="str">
        <x:v>终止搅拌，直接出料；同步记录台账，留存实测参数备查。</x:v>
      </x:c>
      <x:c r="M84" s="29" t="str">
        <x:v>否</x:v>
      </x:c>
      <x:c r="N84" s="29" t="str">
        <x:f>IF(COUNTIFS('C30规则'!$A$5:$A$9,D84,'C30规则'!$C$5:$C$9,"&lt;="&amp;E84,'C30规则'!$D$5:$D$9,"&gt;="&amp;E84,'C30规则'!$E$5:$E$9,"&lt;="&amp;G84,'C30规则'!$F$5:$F$9,"&gt;="&amp;G84,'C30规则'!$G$5:$G$9,"&lt;="&amp;H84,'C30规则'!$H$5:$H$9,"&gt;="&amp;H84,'C30规则'!$I$5:$I$9,"&lt;="&amp;I84,'C30规则'!$J$5:$J$9,"&gt;="&amp;I84,'C30规则'!$K$5:$K$9,"&lt;="&amp;J84,'C30规则'!$L$5:$L$9,"&gt;="&amp;J84)=1,"通过","检查")</x:f>
        <x:v>通过</x:v>
      </x:c>
      <x:c r="O84" s="29" t="str">
        <x:v>RULE_DERIVED</x:v>
      </x:c>
    </x:row>
    <x:row r="85">
      <x:c r="A85" s="29" t="str">
        <x:v>C30-20260806-001</x:v>
      </x:c>
      <x:c r="B85" s="32" t="n">
        <x:v>46240.333333333336</x:v>
      </x:c>
      <x:c r="C85" s="29" t="str">
        <x:v>C30</x:v>
      </x:c>
      <x:c r="D85" s="29" t="str">
        <x:v>NORMAL</x:v>
      </x:c>
      <x:c r="E85" s="35" t="n">
        <x:v>57.7</x:v>
      </x:c>
      <x:c r="F85" s="41" t="str">
        <x:v>稠度适中，包裹性好，不泌水，不结块，泵送顺畅</x:v>
      </x:c>
      <x:c r="G85" s="38" t="n">
        <x:v>-2</x:v>
      </x:c>
      <x:c r="H85" s="38" t="n">
        <x:v>178</x:v>
      </x:c>
      <x:c r="I85" s="38" t="n">
        <x:v>549</x:v>
      </x:c>
      <x:c r="J85" s="35" t="n">
        <x:v>3.6</x:v>
      </x:c>
      <x:c r="K85" s="29" t="str">
        <x:v>合格</x:v>
      </x:c>
      <x:c r="L85" s="41" t="str">
        <x:v>终止搅拌，直接出料；同步记录台账，留存实测参数备查。</x:v>
      </x:c>
      <x:c r="M85" s="29" t="str">
        <x:v>否</x:v>
      </x:c>
      <x:c r="N85" s="29" t="str">
        <x:f>IF(COUNTIFS('C30规则'!$A$5:$A$9,D85,'C30规则'!$C$5:$C$9,"&lt;="&amp;E85,'C30规则'!$D$5:$D$9,"&gt;="&amp;E85,'C30规则'!$E$5:$E$9,"&lt;="&amp;G85,'C30规则'!$F$5:$F$9,"&gt;="&amp;G85,'C30规则'!$G$5:$G$9,"&lt;="&amp;H85,'C30规则'!$H$5:$H$9,"&gt;="&amp;H85,'C30规则'!$I$5:$I$9,"&lt;="&amp;I85,'C30规则'!$J$5:$J$9,"&gt;="&amp;I85,'C30规则'!$K$5:$K$9,"&lt;="&amp;J85,'C30规则'!$L$5:$L$9,"&gt;="&amp;J85)=1,"通过","检查")</x:f>
        <x:v>通过</x:v>
      </x:c>
      <x:c r="O85" s="29" t="str">
        <x:v>RULE_DERIVED</x:v>
      </x:c>
    </x:row>
    <x:row r="86">
      <x:c r="A86" s="29" t="str">
        <x:v>C30-20260806-002</x:v>
      </x:c>
      <x:c r="B86" s="32" t="n">
        <x:v>46240.36944444444</x:v>
      </x:c>
      <x:c r="C86" s="29" t="str">
        <x:v>C30</x:v>
      </x:c>
      <x:c r="D86" s="29" t="str">
        <x:v>NORMAL</x:v>
      </x:c>
      <x:c r="E86" s="35" t="n">
        <x:v>56.3</x:v>
      </x:c>
      <x:c r="F86" s="41" t="str">
        <x:v>稠度适中，包裹性好，不泌水，不结块，泵送顺畅</x:v>
      </x:c>
      <x:c r="G86" s="38" t="n">
        <x:v>11</x:v>
      </x:c>
      <x:c r="H86" s="38" t="n">
        <x:v>191</x:v>
      </x:c>
      <x:c r="I86" s="38" t="n">
        <x:v>553</x:v>
      </x:c>
      <x:c r="J86" s="35" t="n">
        <x:v>2.9</x:v>
      </x:c>
      <x:c r="K86" s="29" t="str">
        <x:v>合格</x:v>
      </x:c>
      <x:c r="L86" s="41" t="str">
        <x:v>终止搅拌，直接出料；同步记录台账，留存实测参数备查。</x:v>
      </x:c>
      <x:c r="M86" s="29" t="str">
        <x:v>否</x:v>
      </x:c>
      <x:c r="N86" s="29" t="str">
        <x:f>IF(COUNTIFS('C30规则'!$A$5:$A$9,D86,'C30规则'!$C$5:$C$9,"&lt;="&amp;E86,'C30规则'!$D$5:$D$9,"&gt;="&amp;E86,'C30规则'!$E$5:$E$9,"&lt;="&amp;G86,'C30规则'!$F$5:$F$9,"&gt;="&amp;G86,'C30规则'!$G$5:$G$9,"&lt;="&amp;H86,'C30规则'!$H$5:$H$9,"&gt;="&amp;H86,'C30规则'!$I$5:$I$9,"&lt;="&amp;I86,'C30规则'!$J$5:$J$9,"&gt;="&amp;I86,'C30规则'!$K$5:$K$9,"&lt;="&amp;J86,'C30规则'!$L$5:$L$9,"&gt;="&amp;J86)=1,"通过","检查")</x:f>
        <x:v>通过</x:v>
      </x:c>
      <x:c r="O86" s="29" t="str">
        <x:v>RULE_DERIVED</x:v>
      </x:c>
    </x:row>
    <x:row r="87">
      <x:c r="A87" s="29" t="str">
        <x:v>C30-20260806-003</x:v>
      </x:c>
      <x:c r="B87" s="32" t="n">
        <x:v>46240.402083333334</x:v>
      </x:c>
      <x:c r="C87" s="29" t="str">
        <x:v>C30</x:v>
      </x:c>
      <x:c r="D87" s="29" t="str">
        <x:v>WET_SEVERE</x:v>
      </x:c>
      <x:c r="E87" s="35" t="n">
        <x:v>41.6</x:v>
      </x:c>
      <x:c r="F87" s="41" t="str">
        <x:v>过稀，泌水，离析，骨料下沉，存在堵泵风险</x:v>
      </x:c>
      <x:c r="G87" s="38" t="n">
        <x:v>57</x:v>
      </x:c>
      <x:c r="H87" s="38" t="n">
        <x:v>237</x:v>
      </x:c>
      <x:c r="I87" s="38" t="n">
        <x:v>652</x:v>
      </x:c>
      <x:c r="J87" s="35" t="n">
        <x:v>1.2</x:v>
      </x:c>
      <x:c r="K87" s="29" t="str">
        <x:v>不合格</x:v>
      </x:c>
      <x:c r="L87" s="41" t="str">
        <x:v>立即暂停出料；加入10–12kg/m³干砂和3–5kg/m³水泥，搅拌60s后复测；仍离析则废弃并排查计量系统。</x:v>
      </x:c>
      <x:c r="M87" s="29" t="str">
        <x:v>是</x:v>
      </x:c>
      <x:c r="N87" s="29" t="str">
        <x:f>IF(COUNTIFS('C30规则'!$A$5:$A$9,D87,'C30规则'!$C$5:$C$9,"&lt;="&amp;E87,'C30规则'!$D$5:$D$9,"&gt;="&amp;E87,'C30规则'!$E$5:$E$9,"&lt;="&amp;G87,'C30规则'!$F$5:$F$9,"&gt;="&amp;G87,'C30规则'!$G$5:$G$9,"&lt;="&amp;H87,'C30规则'!$H$5:$H$9,"&gt;="&amp;H87,'C30规则'!$I$5:$I$9,"&lt;="&amp;I87,'C30规则'!$J$5:$J$9,"&gt;="&amp;I87,'C30规则'!$K$5:$K$9,"&lt;="&amp;J87,'C30规则'!$L$5:$L$9,"&gt;="&amp;J87)=1,"通过","检查")</x:f>
        <x:v>通过</x:v>
      </x:c>
      <x:c r="O87" s="29" t="str">
        <x:v>RULE_DERIVED</x:v>
      </x:c>
    </x:row>
    <x:row r="88">
      <x:c r="A88" s="29" t="str">
        <x:v>C30-20260806-004</x:v>
      </x:c>
      <x:c r="B88" s="32" t="n">
        <x:v>46240.436111111114</x:v>
      </x:c>
      <x:c r="C88" s="29" t="str">
        <x:v>C30</x:v>
      </x:c>
      <x:c r="D88" s="29" t="str">
        <x:v>DRY_MILD</x:v>
      </x:c>
      <x:c r="E88" s="35" t="n">
        <x:v>64.7</x:v>
      </x:c>
      <x:c r="F88" s="41" t="str">
        <x:v>偏干，骨料微裸露，流动性偏弱</x:v>
      </x:c>
      <x:c r="G88" s="38" t="n">
        <x:v>-24</x:v>
      </x:c>
      <x:c r="H88" s="38" t="n">
        <x:v>156</x:v>
      </x:c>
      <x:c r="I88" s="38" t="n">
        <x:v>515</x:v>
      </x:c>
      <x:c r="J88" s="35" t="n">
        <x:v>4.9</x:v>
      </x:c>
      <x:c r="K88" s="29" t="str">
        <x:v>轻微异常</x:v>
      </x:c>
      <x:c r="L88" s="41" t="str">
        <x:v>优先增加聚羧酸减水剂掺量0.1%，搅拌30s后复测，达标后出料。</x:v>
      </x:c>
      <x:c r="M88" s="29" t="str">
        <x:v>是</x:v>
      </x:c>
      <x:c r="N88" s="29" t="str">
        <x:f>IF(COUNTIFS('C30规则'!$A$5:$A$9,D88,'C30规则'!$C$5:$C$9,"&lt;="&amp;E88,'C30规则'!$D$5:$D$9,"&gt;="&amp;E88,'C30规则'!$E$5:$E$9,"&lt;="&amp;G88,'C30规则'!$F$5:$F$9,"&gt;="&amp;G88,'C30规则'!$G$5:$G$9,"&lt;="&amp;H88,'C30规则'!$H$5:$H$9,"&gt;="&amp;H88,'C30规则'!$I$5:$I$9,"&lt;="&amp;I88,'C30规则'!$J$5:$J$9,"&gt;="&amp;I88,'C30规则'!$K$5:$K$9,"&lt;="&amp;J88,'C30规则'!$L$5:$L$9,"&gt;="&amp;J88)=1,"通过","检查")</x:f>
        <x:v>通过</x:v>
      </x:c>
      <x:c r="O88" s="29" t="str">
        <x:v>RULE_DERIVED</x:v>
      </x:c>
    </x:row>
    <x:row r="89">
      <x:c r="A89" s="29" t="str">
        <x:v>C30-20260806-005</x:v>
      </x:c>
      <x:c r="B89" s="32" t="n">
        <x:v>46240.47152777778</x:v>
      </x:c>
      <x:c r="C89" s="29" t="str">
        <x:v>C30</x:v>
      </x:c>
      <x:c r="D89" s="29" t="str">
        <x:v>WET_MILD</x:v>
      </x:c>
      <x:c r="E89" s="35" t="n">
        <x:v>47.3</x:v>
      </x:c>
      <x:c r="F89" s="41" t="str">
        <x:v>偏稀，流动性偏大，无泌水</x:v>
      </x:c>
      <x:c r="G89" s="38" t="n">
        <x:v>30</x:v>
      </x:c>
      <x:c r="H89" s="38" t="n">
        <x:v>210</x:v>
      </x:c>
      <x:c r="I89" s="38" t="n">
        <x:v>606</x:v>
      </x:c>
      <x:c r="J89" s="35" t="n">
        <x:v>2</x:v>
      </x:c>
      <x:c r="K89" s="29" t="str">
        <x:v>轻微异常</x:v>
      </x:c>
      <x:c r="L89" s="41" t="str">
        <x:v>加入5–8kg/m³干砂，搅拌30s后复测，达标后正常出料并观察泵送。</x:v>
      </x:c>
      <x:c r="M89" s="29" t="str">
        <x:v>是</x:v>
      </x:c>
      <x:c r="N89" s="29" t="str">
        <x:f>IF(COUNTIFS('C30规则'!$A$5:$A$9,D89,'C30规则'!$C$5:$C$9,"&lt;="&amp;E89,'C30规则'!$D$5:$D$9,"&gt;="&amp;E89,'C30规则'!$E$5:$E$9,"&lt;="&amp;G89,'C30规则'!$F$5:$F$9,"&gt;="&amp;G89,'C30规则'!$G$5:$G$9,"&lt;="&amp;H89,'C30规则'!$H$5:$H$9,"&gt;="&amp;H89,'C30规则'!$I$5:$I$9,"&lt;="&amp;I89,'C30规则'!$J$5:$J$9,"&gt;="&amp;I89,'C30规则'!$K$5:$K$9,"&lt;="&amp;J89,'C30规则'!$L$5:$L$9,"&gt;="&amp;J89)=1,"通过","检查")</x:f>
        <x:v>通过</x:v>
      </x:c>
      <x:c r="O89" s="29" t="str">
        <x:v>RULE_DERIVED</x:v>
      </x:c>
    </x:row>
    <x:row r="90">
      <x:c r="A90" s="29" t="str">
        <x:v>C30-20260806-006</x:v>
      </x:c>
      <x:c r="B90" s="32" t="n">
        <x:v>46240.50277777778</x:v>
      </x:c>
      <x:c r="C90" s="29" t="str">
        <x:v>C30</x:v>
      </x:c>
      <x:c r="D90" s="29" t="str">
        <x:v>DRY_MILD</x:v>
      </x:c>
      <x:c r="E90" s="35" t="n">
        <x:v>62</x:v>
      </x:c>
      <x:c r="F90" s="41" t="str">
        <x:v>偏干，骨料微裸露，流动性偏弱</x:v>
      </x:c>
      <x:c r="G90" s="38" t="n">
        <x:v>-24</x:v>
      </x:c>
      <x:c r="H90" s="38" t="n">
        <x:v>156</x:v>
      </x:c>
      <x:c r="I90" s="38" t="n">
        <x:v>514</x:v>
      </x:c>
      <x:c r="J90" s="35" t="n">
        <x:v>4.9</x:v>
      </x:c>
      <x:c r="K90" s="29" t="str">
        <x:v>轻微异常</x:v>
      </x:c>
      <x:c r="L90" s="41" t="str">
        <x:v>优先增加聚羧酸减水剂掺量0.1%，搅拌30s后复测，达标后出料。</x:v>
      </x:c>
      <x:c r="M90" s="29" t="str">
        <x:v>是</x:v>
      </x:c>
      <x:c r="N90" s="29" t="str">
        <x:f>IF(COUNTIFS('C30规则'!$A$5:$A$9,D90,'C30规则'!$C$5:$C$9,"&lt;="&amp;E90,'C30规则'!$D$5:$D$9,"&gt;="&amp;E90,'C30规则'!$E$5:$E$9,"&lt;="&amp;G90,'C30规则'!$F$5:$F$9,"&gt;="&amp;G90,'C30规则'!$G$5:$G$9,"&lt;="&amp;H90,'C30规则'!$H$5:$H$9,"&gt;="&amp;H90,'C30规则'!$I$5:$I$9,"&lt;="&amp;I90,'C30规则'!$J$5:$J$9,"&gt;="&amp;I90,'C30规则'!$K$5:$K$9,"&lt;="&amp;J90,'C30规则'!$L$5:$L$9,"&gt;="&amp;J90)=1,"通过","检查")</x:f>
        <x:v>通过</x:v>
      </x:c>
      <x:c r="O90" s="29" t="str">
        <x:v>RULE_DERIVED</x:v>
      </x:c>
    </x:row>
    <x:row r="91">
      <x:c r="A91" s="29" t="str">
        <x:v>C30-20260806-007</x:v>
      </x:c>
      <x:c r="B91" s="32" t="n">
        <x:v>46240.5375</x:v>
      </x:c>
      <x:c r="C91" s="29" t="str">
        <x:v>C30</x:v>
      </x:c>
      <x:c r="D91" s="29" t="str">
        <x:v>NORMAL</x:v>
      </x:c>
      <x:c r="E91" s="35" t="n">
        <x:v>56.2</x:v>
      </x:c>
      <x:c r="F91" s="41" t="str">
        <x:v>稠度适中，包裹性好，不泌水，不结块，泵送顺畅</x:v>
      </x:c>
      <x:c r="G91" s="38" t="n">
        <x:v>13</x:v>
      </x:c>
      <x:c r="H91" s="38" t="n">
        <x:v>193</x:v>
      </x:c>
      <x:c r="I91" s="38" t="n">
        <x:v>562</x:v>
      </x:c>
      <x:c r="J91" s="35" t="n">
        <x:v>2.9</x:v>
      </x:c>
      <x:c r="K91" s="29" t="str">
        <x:v>合格</x:v>
      </x:c>
      <x:c r="L91" s="41" t="str">
        <x:v>终止搅拌，直接出料；同步记录台账，留存实测参数备查。</x:v>
      </x:c>
      <x:c r="M91" s="29" t="str">
        <x:v>否</x:v>
      </x:c>
      <x:c r="N91" s="29" t="str">
        <x:f>IF(COUNTIFS('C30规则'!$A$5:$A$9,D91,'C30规则'!$C$5:$C$9,"&lt;="&amp;E91,'C30规则'!$D$5:$D$9,"&gt;="&amp;E91,'C30规则'!$E$5:$E$9,"&lt;="&amp;G91,'C30规则'!$F$5:$F$9,"&gt;="&amp;G91,'C30规则'!$G$5:$G$9,"&lt;="&amp;H91,'C30规则'!$H$5:$H$9,"&gt;="&amp;H91,'C30规则'!$I$5:$I$9,"&lt;="&amp;I91,'C30规则'!$J$5:$J$9,"&gt;="&amp;I91,'C30规则'!$K$5:$K$9,"&lt;="&amp;J91,'C30规则'!$L$5:$L$9,"&gt;="&amp;J91)=1,"通过","检查")</x:f>
        <x:v>通过</x:v>
      </x:c>
      <x:c r="O91" s="29" t="str">
        <x:v>RULE_DERIVED</x:v>
      </x:c>
    </x:row>
    <x:row r="92">
      <x:c r="A92" s="29" t="str">
        <x:v>C30-20260806-008</x:v>
      </x:c>
      <x:c r="B92" s="32" t="n">
        <x:v>46240.57013888889</x:v>
      </x:c>
      <x:c r="C92" s="29" t="str">
        <x:v>C30</x:v>
      </x:c>
      <x:c r="D92" s="29" t="str">
        <x:v>NORMAL</x:v>
      </x:c>
      <x:c r="E92" s="35" t="n">
        <x:v>55.5</x:v>
      </x:c>
      <x:c r="F92" s="41" t="str">
        <x:v>稠度适中，包裹性好，不泌水，不结块，泵送顺畅</x:v>
      </x:c>
      <x:c r="G92" s="38" t="n">
        <x:v>14</x:v>
      </x:c>
      <x:c r="H92" s="38" t="n">
        <x:v>194</x:v>
      </x:c>
      <x:c r="I92" s="38" t="n">
        <x:v>565</x:v>
      </x:c>
      <x:c r="J92" s="35" t="n">
        <x:v>2.8</x:v>
      </x:c>
      <x:c r="K92" s="29" t="str">
        <x:v>合格</x:v>
      </x:c>
      <x:c r="L92" s="41" t="str">
        <x:v>终止搅拌，直接出料；同步记录台账，留存实测参数备查。</x:v>
      </x:c>
      <x:c r="M92" s="29" t="str">
        <x:v>否</x:v>
      </x:c>
      <x:c r="N92" s="29" t="str">
        <x:f>IF(COUNTIFS('C30规则'!$A$5:$A$9,D92,'C30规则'!$C$5:$C$9,"&lt;="&amp;E92,'C30规则'!$D$5:$D$9,"&gt;="&amp;E92,'C30规则'!$E$5:$E$9,"&lt;="&amp;G92,'C30规则'!$F$5:$F$9,"&gt;="&amp;G92,'C30规则'!$G$5:$G$9,"&lt;="&amp;H92,'C30规则'!$H$5:$H$9,"&gt;="&amp;H92,'C30规则'!$I$5:$I$9,"&lt;="&amp;I92,'C30规则'!$J$5:$J$9,"&gt;="&amp;I92,'C30规则'!$K$5:$K$9,"&lt;="&amp;J92,'C30规则'!$L$5:$L$9,"&gt;="&amp;J92)=1,"通过","检查")</x:f>
        <x:v>通过</x:v>
      </x:c>
      <x:c r="O92" s="29" t="str">
        <x:v>RULE_DERIVED</x:v>
      </x:c>
    </x:row>
    <x:row r="93">
      <x:c r="A93" s="29" t="str">
        <x:v>C30-20260806-009</x:v>
      </x:c>
      <x:c r="B93" s="32" t="n">
        <x:v>46240.600694444445</x:v>
      </x:c>
      <x:c r="C93" s="29" t="str">
        <x:v>C30</x:v>
      </x:c>
      <x:c r="D93" s="29" t="str">
        <x:v>NORMAL</x:v>
      </x:c>
      <x:c r="E93" s="35" t="n">
        <x:v>58.6</x:v>
      </x:c>
      <x:c r="F93" s="41" t="str">
        <x:v>稠度适中，包裹性好，不泌水，不结块，泵送顺畅</x:v>
      </x:c>
      <x:c r="G93" s="38" t="n">
        <x:v>-7</x:v>
      </x:c>
      <x:c r="H93" s="38" t="n">
        <x:v>173</x:v>
      </x:c>
      <x:c r="I93" s="38" t="n">
        <x:v>547</x:v>
      </x:c>
      <x:c r="J93" s="35" t="n">
        <x:v>4</x:v>
      </x:c>
      <x:c r="K93" s="29" t="str">
        <x:v>合格</x:v>
      </x:c>
      <x:c r="L93" s="41" t="str">
        <x:v>终止搅拌，直接出料；同步记录台账，留存实测参数备查。</x:v>
      </x:c>
      <x:c r="M93" s="29" t="str">
        <x:v>否</x:v>
      </x:c>
      <x:c r="N93" s="29" t="str">
        <x:f>IF(COUNTIFS('C30规则'!$A$5:$A$9,D93,'C30规则'!$C$5:$C$9,"&lt;="&amp;E93,'C30规则'!$D$5:$D$9,"&gt;="&amp;E93,'C30规则'!$E$5:$E$9,"&lt;="&amp;G93,'C30规则'!$F$5:$F$9,"&gt;="&amp;G93,'C30规则'!$G$5:$G$9,"&lt;="&amp;H93,'C30规则'!$H$5:$H$9,"&gt;="&amp;H93,'C30规则'!$I$5:$I$9,"&lt;="&amp;I93,'C30规则'!$J$5:$J$9,"&gt;="&amp;I93,'C30规则'!$K$5:$K$9,"&lt;="&amp;J93,'C30规则'!$L$5:$L$9,"&gt;="&amp;J93)=1,"通过","检查")</x:f>
        <x:v>通过</x:v>
      </x:c>
      <x:c r="O93" s="29" t="str">
        <x:v>RULE_DERIVED</x:v>
      </x:c>
    </x:row>
    <x:row r="94">
      <x:c r="A94" s="29" t="str">
        <x:v>C30-20260806-010</x:v>
      </x:c>
      <x:c r="B94" s="32" t="n">
        <x:v>46240.63611111111</x:v>
      </x:c>
      <x:c r="C94" s="29" t="str">
        <x:v>C30</x:v>
      </x:c>
      <x:c r="D94" s="29" t="str">
        <x:v>NORMAL</x:v>
      </x:c>
      <x:c r="E94" s="35" t="n">
        <x:v>56.5</x:v>
      </x:c>
      <x:c r="F94" s="41" t="str">
        <x:v>稠度适中，包裹性好，不泌水，不结块，泵送顺畅</x:v>
      </x:c>
      <x:c r="G94" s="38" t="n">
        <x:v>5</x:v>
      </x:c>
      <x:c r="H94" s="38" t="n">
        <x:v>185</x:v>
      </x:c>
      <x:c r="I94" s="38" t="n">
        <x:v>561</x:v>
      </x:c>
      <x:c r="J94" s="35" t="n">
        <x:v>3</x:v>
      </x:c>
      <x:c r="K94" s="29" t="str">
        <x:v>合格</x:v>
      </x:c>
      <x:c r="L94" s="41" t="str">
        <x:v>终止搅拌，直接出料；同步记录台账，留存实测参数备查。</x:v>
      </x:c>
      <x:c r="M94" s="29" t="str">
        <x:v>否</x:v>
      </x:c>
      <x:c r="N94" s="29" t="str">
        <x:f>IF(COUNTIFS('C30规则'!$A$5:$A$9,D94,'C30规则'!$C$5:$C$9,"&lt;="&amp;E94,'C30规则'!$D$5:$D$9,"&gt;="&amp;E94,'C30规则'!$E$5:$E$9,"&lt;="&amp;G94,'C30规则'!$F$5:$F$9,"&gt;="&amp;G94,'C30规则'!$G$5:$G$9,"&lt;="&amp;H94,'C30规则'!$H$5:$H$9,"&gt;="&amp;H94,'C30规则'!$I$5:$I$9,"&lt;="&amp;I94,'C30规则'!$J$5:$J$9,"&gt;="&amp;I94,'C30规则'!$K$5:$K$9,"&lt;="&amp;J94,'C30规则'!$L$5:$L$9,"&gt;="&amp;J94)=1,"通过","检查")</x:f>
        <x:v>通过</x:v>
      </x:c>
      <x:c r="O94" s="29" t="str">
        <x:v>RULE_DERIVED</x:v>
      </x:c>
    </x:row>
    <x:row r="95">
      <x:c r="A95" s="29" t="str">
        <x:v>C30-20260807-001</x:v>
      </x:c>
      <x:c r="B95" s="32" t="n">
        <x:v>46241.3375</x:v>
      </x:c>
      <x:c r="C95" s="29" t="str">
        <x:v>C30</x:v>
      </x:c>
      <x:c r="D95" s="29" t="str">
        <x:v>NORMAL</x:v>
      </x:c>
      <x:c r="E95" s="35" t="n">
        <x:v>56.6</x:v>
      </x:c>
      <x:c r="F95" s="41" t="str">
        <x:v>稠度适中，包裹性好，不泌水，不结块，泵送顺畅</x:v>
      </x:c>
      <x:c r="G95" s="38" t="n">
        <x:v>8</x:v>
      </x:c>
      <x:c r="H95" s="38" t="n">
        <x:v>188</x:v>
      </x:c>
      <x:c r="I95" s="38" t="n">
        <x:v>561</x:v>
      </x:c>
      <x:c r="J95" s="35" t="n">
        <x:v>3.2</x:v>
      </x:c>
      <x:c r="K95" s="29" t="str">
        <x:v>合格</x:v>
      </x:c>
      <x:c r="L95" s="41" t="str">
        <x:v>终止搅拌，直接出料；同步记录台账，留存实测参数备查。</x:v>
      </x:c>
      <x:c r="M95" s="29" t="str">
        <x:v>否</x:v>
      </x:c>
      <x:c r="N95" s="29" t="str">
        <x:f>IF(COUNTIFS('C30规则'!$A$5:$A$9,D95,'C30规则'!$C$5:$C$9,"&lt;="&amp;E95,'C30规则'!$D$5:$D$9,"&gt;="&amp;E95,'C30规则'!$E$5:$E$9,"&lt;="&amp;G95,'C30规则'!$F$5:$F$9,"&gt;="&amp;G95,'C30规则'!$G$5:$G$9,"&lt;="&amp;H95,'C30规则'!$H$5:$H$9,"&gt;="&amp;H95,'C30规则'!$I$5:$I$9,"&lt;="&amp;I95,'C30规则'!$J$5:$J$9,"&gt;="&amp;I95,'C30规则'!$K$5:$K$9,"&lt;="&amp;J95,'C30规则'!$L$5:$L$9,"&gt;="&amp;J95)=1,"通过","检查")</x:f>
        <x:v>通过</x:v>
      </x:c>
      <x:c r="O95" s="29" t="str">
        <x:v>RULE_DERIVED</x:v>
      </x:c>
    </x:row>
    <x:row r="96">
      <x:c r="A96" s="29" t="str">
        <x:v>C30-20260807-002</x:v>
      </x:c>
      <x:c r="B96" s="32" t="n">
        <x:v>46241.370833333334</x:v>
      </x:c>
      <x:c r="C96" s="29" t="str">
        <x:v>C30</x:v>
      </x:c>
      <x:c r="D96" s="29" t="str">
        <x:v>DRY_SEVERE</x:v>
      </x:c>
      <x:c r="E96" s="35" t="n">
        <x:v>79</x:v>
      </x:c>
      <x:c r="F96" s="41" t="str">
        <x:v>干涩，结块，挂壁，流动性极差，无法泵送</x:v>
      </x:c>
      <x:c r="G96" s="38" t="n">
        <x:v>-60</x:v>
      </x:c>
      <x:c r="H96" s="38" t="n">
        <x:v>120</x:v>
      </x:c>
      <x:c r="I96" s="38" t="n">
        <x:v>453</x:v>
      </x:c>
      <x:c r="J96" s="35" t="n">
        <x:v>7</x:v>
      </x:c>
      <x:c r="K96" s="29" t="str">
        <x:v>不合格</x:v>
      </x:c>
      <x:c r="L96" s="41" t="str">
        <x:v>优先补加0.2%减水剂和5kg清水，搅拌60s后复测。</x:v>
      </x:c>
      <x:c r="M96" s="29" t="str">
        <x:v>是</x:v>
      </x:c>
      <x:c r="N96" s="29" t="str">
        <x:f>IF(COUNTIFS('C30规则'!$A$5:$A$9,D96,'C30规则'!$C$5:$C$9,"&lt;="&amp;E96,'C30规则'!$D$5:$D$9,"&gt;="&amp;E96,'C30规则'!$E$5:$E$9,"&lt;="&amp;G96,'C30规则'!$F$5:$F$9,"&gt;="&amp;G96,'C30规则'!$G$5:$G$9,"&lt;="&amp;H96,'C30规则'!$H$5:$H$9,"&gt;="&amp;H96,'C30规则'!$I$5:$I$9,"&lt;="&amp;I96,'C30规则'!$J$5:$J$9,"&gt;="&amp;I96,'C30规则'!$K$5:$K$9,"&lt;="&amp;J96,'C30规则'!$L$5:$L$9,"&gt;="&amp;J96)=1,"通过","检查")</x:f>
        <x:v>通过</x:v>
      </x:c>
      <x:c r="O96" s="29" t="str">
        <x:v>RULE_DERIVED</x:v>
      </x:c>
    </x:row>
    <x:row r="97">
      <x:c r="A97" s="29" t="str">
        <x:v>C30-20260807-003</x:v>
      </x:c>
      <x:c r="B97" s="32" t="n">
        <x:v>46241.404861111114</x:v>
      </x:c>
      <x:c r="C97" s="29" t="str">
        <x:v>C30</x:v>
      </x:c>
      <x:c r="D97" s="29" t="str">
        <x:v>NORMAL</x:v>
      </x:c>
      <x:c r="E97" s="35" t="n">
        <x:v>59.4</x:v>
      </x:c>
      <x:c r="F97" s="41" t="str">
        <x:v>稠度适中，包裹性好，不泌水，不结块，泵送顺畅</x:v>
      </x:c>
      <x:c r="G97" s="38" t="n">
        <x:v>-14</x:v>
      </x:c>
      <x:c r="H97" s="38" t="n">
        <x:v>166</x:v>
      </x:c>
      <x:c r="I97" s="38" t="n">
        <x:v>532</x:v>
      </x:c>
      <x:c r="J97" s="35" t="n">
        <x:v>4.2</x:v>
      </x:c>
      <x:c r="K97" s="29" t="str">
        <x:v>合格</x:v>
      </x:c>
      <x:c r="L97" s="41" t="str">
        <x:v>终止搅拌，直接出料；同步记录台账，留存实测参数备查。</x:v>
      </x:c>
      <x:c r="M97" s="29" t="str">
        <x:v>否</x:v>
      </x:c>
      <x:c r="N97" s="29" t="str">
        <x:f>IF(COUNTIFS('C30规则'!$A$5:$A$9,D97,'C30规则'!$C$5:$C$9,"&lt;="&amp;E97,'C30规则'!$D$5:$D$9,"&gt;="&amp;E97,'C30规则'!$E$5:$E$9,"&lt;="&amp;G97,'C30规则'!$F$5:$F$9,"&gt;="&amp;G97,'C30规则'!$G$5:$G$9,"&lt;="&amp;H97,'C30规则'!$H$5:$H$9,"&gt;="&amp;H97,'C30规则'!$I$5:$I$9,"&lt;="&amp;I97,'C30规则'!$J$5:$J$9,"&gt;="&amp;I97,'C30规则'!$K$5:$K$9,"&lt;="&amp;J97,'C30规则'!$L$5:$L$9,"&gt;="&amp;J97)=1,"通过","检查")</x:f>
        <x:v>通过</x:v>
      </x:c>
      <x:c r="O97" s="29" t="str">
        <x:v>RULE_DERIVED</x:v>
      </x:c>
    </x:row>
    <x:row r="98">
      <x:c r="A98" s="29" t="str">
        <x:v>C30-20260807-004</x:v>
      </x:c>
      <x:c r="B98" s="32" t="n">
        <x:v>46241.4375</x:v>
      </x:c>
      <x:c r="C98" s="29" t="str">
        <x:v>C30</x:v>
      </x:c>
      <x:c r="D98" s="29" t="str">
        <x:v>NORMAL</x:v>
      </x:c>
      <x:c r="E98" s="35" t="n">
        <x:v>56.4</x:v>
      </x:c>
      <x:c r="F98" s="41" t="str">
        <x:v>稠度适中，包裹性好，不泌水，不结块，泵送顺畅</x:v>
      </x:c>
      <x:c r="G98" s="38" t="n">
        <x:v>7</x:v>
      </x:c>
      <x:c r="H98" s="38" t="n">
        <x:v>187</x:v>
      </x:c>
      <x:c r="I98" s="38" t="n">
        <x:v>558</x:v>
      </x:c>
      <x:c r="J98" s="35" t="n">
        <x:v>3</x:v>
      </x:c>
      <x:c r="K98" s="29" t="str">
        <x:v>合格</x:v>
      </x:c>
      <x:c r="L98" s="41" t="str">
        <x:v>终止搅拌，直接出料；同步记录台账，留存实测参数备查。</x:v>
      </x:c>
      <x:c r="M98" s="29" t="str">
        <x:v>否</x:v>
      </x:c>
      <x:c r="N98" s="29" t="str">
        <x:f>IF(COUNTIFS('C30规则'!$A$5:$A$9,D98,'C30规则'!$C$5:$C$9,"&lt;="&amp;E98,'C30规则'!$D$5:$D$9,"&gt;="&amp;E98,'C30规则'!$E$5:$E$9,"&lt;="&amp;G98,'C30规则'!$F$5:$F$9,"&gt;="&amp;G98,'C30规则'!$G$5:$G$9,"&lt;="&amp;H98,'C30规则'!$H$5:$H$9,"&gt;="&amp;H98,'C30规则'!$I$5:$I$9,"&lt;="&amp;I98,'C30规则'!$J$5:$J$9,"&gt;="&amp;I98,'C30规则'!$K$5:$K$9,"&lt;="&amp;J98,'C30规则'!$L$5:$L$9,"&gt;="&amp;J98)=1,"通过","检查")</x:f>
        <x:v>通过</x:v>
      </x:c>
      <x:c r="O98" s="29" t="str">
        <x:v>RULE_DERIVED</x:v>
      </x:c>
    </x:row>
    <x:row r="99">
      <x:c r="A99" s="29" t="str">
        <x:v>C30-20260807-005</x:v>
      </x:c>
      <x:c r="B99" s="32" t="n">
        <x:v>46241.470138888886</x:v>
      </x:c>
      <x:c r="C99" s="29" t="str">
        <x:v>C30</x:v>
      </x:c>
      <x:c r="D99" s="29" t="str">
        <x:v>WET_MILD</x:v>
      </x:c>
      <x:c r="E99" s="35" t="n">
        <x:v>49.7</x:v>
      </x:c>
      <x:c r="F99" s="41" t="str">
        <x:v>偏稀，流动性偏大，无泌水</x:v>
      </x:c>
      <x:c r="G99" s="38" t="n">
        <x:v>23</x:v>
      </x:c>
      <x:c r="H99" s="38" t="n">
        <x:v>203</x:v>
      </x:c>
      <x:c r="I99" s="38" t="n">
        <x:v>591</x:v>
      </x:c>
      <x:c r="J99" s="35" t="n">
        <x:v>2</x:v>
      </x:c>
      <x:c r="K99" s="29" t="str">
        <x:v>轻微异常</x:v>
      </x:c>
      <x:c r="L99" s="41" t="str">
        <x:v>加入5–8kg/m³干砂，搅拌30s后复测，达标后正常出料并观察泵送。</x:v>
      </x:c>
      <x:c r="M99" s="29" t="str">
        <x:v>是</x:v>
      </x:c>
      <x:c r="N99" s="29" t="str">
        <x:f>IF(COUNTIFS('C30规则'!$A$5:$A$9,D99,'C30规则'!$C$5:$C$9,"&lt;="&amp;E99,'C30规则'!$D$5:$D$9,"&gt;="&amp;E99,'C30规则'!$E$5:$E$9,"&lt;="&amp;G99,'C30规则'!$F$5:$F$9,"&gt;="&amp;G99,'C30规则'!$G$5:$G$9,"&lt;="&amp;H99,'C30规则'!$H$5:$H$9,"&gt;="&amp;H99,'C30规则'!$I$5:$I$9,"&lt;="&amp;I99,'C30规则'!$J$5:$J$9,"&gt;="&amp;I99,'C30规则'!$K$5:$K$9,"&lt;="&amp;J99,'C30规则'!$L$5:$L$9,"&gt;="&amp;J99)=1,"通过","检查")</x:f>
        <x:v>通过</x:v>
      </x:c>
      <x:c r="O99" s="29" t="str">
        <x:v>RULE_DERIVED</x:v>
      </x:c>
    </x:row>
    <x:row r="100">
      <x:c r="A100" s="29" t="str">
        <x:v>C30-20260807-006</x:v>
      </x:c>
      <x:c r="B100" s="32" t="n">
        <x:v>46241.5</x:v>
      </x:c>
      <x:c r="C100" s="29" t="str">
        <x:v>C30</x:v>
      </x:c>
      <x:c r="D100" s="29" t="str">
        <x:v>NORMAL</x:v>
      </x:c>
      <x:c r="E100" s="35" t="n">
        <x:v>57.1</x:v>
      </x:c>
      <x:c r="F100" s="41" t="str">
        <x:v>稠度适中，包裹性好，不泌水，不结块，泵送顺畅</x:v>
      </x:c>
      <x:c r="G100" s="38" t="n">
        <x:v>6</x:v>
      </x:c>
      <x:c r="H100" s="38" t="n">
        <x:v>186</x:v>
      </x:c>
      <x:c r="I100" s="38" t="n">
        <x:v>551</x:v>
      </x:c>
      <x:c r="J100" s="35" t="n">
        <x:v>3.3</x:v>
      </x:c>
      <x:c r="K100" s="29" t="str">
        <x:v>合格</x:v>
      </x:c>
      <x:c r="L100" s="41" t="str">
        <x:v>终止搅拌，直接出料；同步记录台账，留存实测参数备查。</x:v>
      </x:c>
      <x:c r="M100" s="29" t="str">
        <x:v>否</x:v>
      </x:c>
      <x:c r="N100" s="29" t="str">
        <x:f>IF(COUNTIFS('C30规则'!$A$5:$A$9,D100,'C30规则'!$C$5:$C$9,"&lt;="&amp;E100,'C30规则'!$D$5:$D$9,"&gt;="&amp;E100,'C30规则'!$E$5:$E$9,"&lt;="&amp;G100,'C30规则'!$F$5:$F$9,"&gt;="&amp;G100,'C30规则'!$G$5:$G$9,"&lt;="&amp;H100,'C30规则'!$H$5:$H$9,"&gt;="&amp;H100,'C30规则'!$I$5:$I$9,"&lt;="&amp;I100,'C30规则'!$J$5:$J$9,"&gt;="&amp;I100,'C30规则'!$K$5:$K$9,"&lt;="&amp;J100,'C30规则'!$L$5:$L$9,"&gt;="&amp;J100)=1,"通过","检查")</x:f>
        <x:v>通过</x:v>
      </x:c>
      <x:c r="O100" s="29" t="str">
        <x:v>RULE_DERIVED</x:v>
      </x:c>
    </x:row>
    <x:row r="101">
      <x:c r="A101" s="29" t="str">
        <x:v>C30-20260807-007</x:v>
      </x:c>
      <x:c r="B101" s="32" t="n">
        <x:v>46241.5375</x:v>
      </x:c>
      <x:c r="C101" s="29" t="str">
        <x:v>C30</x:v>
      </x:c>
      <x:c r="D101" s="29" t="str">
        <x:v>NORMAL</x:v>
      </x:c>
      <x:c r="E101" s="35" t="n">
        <x:v>59.2</x:v>
      </x:c>
      <x:c r="F101" s="41" t="str">
        <x:v>稠度适中，包裹性好，不泌水，不结块，泵送顺畅</x:v>
      </x:c>
      <x:c r="G101" s="38" t="n">
        <x:v>-13</x:v>
      </x:c>
      <x:c r="H101" s="38" t="n">
        <x:v>167</x:v>
      </x:c>
      <x:c r="I101" s="38" t="n">
        <x:v>532</x:v>
      </x:c>
      <x:c r="J101" s="35" t="n">
        <x:v>4.3</x:v>
      </x:c>
      <x:c r="K101" s="29" t="str">
        <x:v>合格</x:v>
      </x:c>
      <x:c r="L101" s="41" t="str">
        <x:v>终止搅拌，直接出料；同步记录台账，留存实测参数备查。</x:v>
      </x:c>
      <x:c r="M101" s="29" t="str">
        <x:v>否</x:v>
      </x:c>
      <x:c r="N101" s="29" t="str">
        <x:f>IF(COUNTIFS('C30规则'!$A$5:$A$9,D101,'C30规则'!$C$5:$C$9,"&lt;="&amp;E101,'C30规则'!$D$5:$D$9,"&gt;="&amp;E101,'C30规则'!$E$5:$E$9,"&lt;="&amp;G101,'C30规则'!$F$5:$F$9,"&gt;="&amp;G101,'C30规则'!$G$5:$G$9,"&lt;="&amp;H101,'C30规则'!$H$5:$H$9,"&gt;="&amp;H101,'C30规则'!$I$5:$I$9,"&lt;="&amp;I101,'C30规则'!$J$5:$J$9,"&gt;="&amp;I101,'C30规则'!$K$5:$K$9,"&lt;="&amp;J101,'C30规则'!$L$5:$L$9,"&gt;="&amp;J101)=1,"通过","检查")</x:f>
        <x:v>通过</x:v>
      </x:c>
      <x:c r="O101" s="29" t="str">
        <x:v>RULE_DERIVED</x:v>
      </x:c>
    </x:row>
    <x:row r="102">
      <x:c r="A102" s="29" t="str">
        <x:v>C30-20260807-008</x:v>
      </x:c>
      <x:c r="B102" s="32" t="n">
        <x:v>46241.56805555556</x:v>
      </x:c>
      <x:c r="C102" s="29" t="str">
        <x:v>C30</x:v>
      </x:c>
      <x:c r="D102" s="29" t="str">
        <x:v>NORMAL</x:v>
      </x:c>
      <x:c r="E102" s="35" t="n">
        <x:v>57.9</x:v>
      </x:c>
      <x:c r="F102" s="41" t="str">
        <x:v>稠度适中，包裹性好，不泌水，不结块，泵送顺畅</x:v>
      </x:c>
      <x:c r="G102" s="38" t="n">
        <x:v>-4</x:v>
      </x:c>
      <x:c r="H102" s="38" t="n">
        <x:v>176</x:v>
      </x:c>
      <x:c r="I102" s="38" t="n">
        <x:v>542</x:v>
      </x:c>
      <x:c r="J102" s="35" t="n">
        <x:v>3.5</x:v>
      </x:c>
      <x:c r="K102" s="29" t="str">
        <x:v>合格</x:v>
      </x:c>
      <x:c r="L102" s="41" t="str">
        <x:v>终止搅拌，直接出料；同步记录台账，留存实测参数备查。</x:v>
      </x:c>
      <x:c r="M102" s="29" t="str">
        <x:v>否</x:v>
      </x:c>
      <x:c r="N102" s="29" t="str">
        <x:f>IF(COUNTIFS('C30规则'!$A$5:$A$9,D102,'C30规则'!$C$5:$C$9,"&lt;="&amp;E102,'C30规则'!$D$5:$D$9,"&gt;="&amp;E102,'C30规则'!$E$5:$E$9,"&lt;="&amp;G102,'C30规则'!$F$5:$F$9,"&gt;="&amp;G102,'C30规则'!$G$5:$G$9,"&lt;="&amp;H102,'C30规则'!$H$5:$H$9,"&gt;="&amp;H102,'C30规则'!$I$5:$I$9,"&lt;="&amp;I102,'C30规则'!$J$5:$J$9,"&gt;="&amp;I102,'C30规则'!$K$5:$K$9,"&lt;="&amp;J102,'C30规则'!$L$5:$L$9,"&gt;="&amp;J102)=1,"通过","检查")</x:f>
        <x:v>通过</x:v>
      </x:c>
      <x:c r="O102" s="29" t="str">
        <x:v>RULE_DERIVED</x:v>
      </x:c>
    </x:row>
    <x:row r="103">
      <x:c r="A103" s="29" t="str">
        <x:v>C30-20260807-009</x:v>
      </x:c>
      <x:c r="B103" s="32" t="n">
        <x:v>46241.603472222225</x:v>
      </x:c>
      <x:c r="C103" s="29" t="str">
        <x:v>C30</x:v>
      </x:c>
      <x:c r="D103" s="29" t="str">
        <x:v>NORMAL</x:v>
      </x:c>
      <x:c r="E103" s="35" t="n">
        <x:v>57.7</x:v>
      </x:c>
      <x:c r="F103" s="41" t="str">
        <x:v>稠度适中，包裹性好，不泌水，不结块，泵送顺畅</x:v>
      </x:c>
      <x:c r="G103" s="38" t="n">
        <x:v>-5</x:v>
      </x:c>
      <x:c r="H103" s="38" t="n">
        <x:v>175</x:v>
      </x:c>
      <x:c r="I103" s="38" t="n">
        <x:v>552</x:v>
      </x:c>
      <x:c r="J103" s="35" t="n">
        <x:v>3.4</x:v>
      </x:c>
      <x:c r="K103" s="29" t="str">
        <x:v>合格</x:v>
      </x:c>
      <x:c r="L103" s="41" t="str">
        <x:v>终止搅拌，直接出料；同步记录台账，留存实测参数备查。</x:v>
      </x:c>
      <x:c r="M103" s="29" t="str">
        <x:v>否</x:v>
      </x:c>
      <x:c r="N103" s="29" t="str">
        <x:f>IF(COUNTIFS('C30规则'!$A$5:$A$9,D103,'C30规则'!$C$5:$C$9,"&lt;="&amp;E103,'C30规则'!$D$5:$D$9,"&gt;="&amp;E103,'C30规则'!$E$5:$E$9,"&lt;="&amp;G103,'C30规则'!$F$5:$F$9,"&gt;="&amp;G103,'C30规则'!$G$5:$G$9,"&lt;="&amp;H103,'C30规则'!$H$5:$H$9,"&gt;="&amp;H103,'C30规则'!$I$5:$I$9,"&lt;="&amp;I103,'C30规则'!$J$5:$J$9,"&gt;="&amp;I103,'C30规则'!$K$5:$K$9,"&lt;="&amp;J103,'C30规则'!$L$5:$L$9,"&gt;="&amp;J103)=1,"通过","检查")</x:f>
        <x:v>通过</x:v>
      </x:c>
      <x:c r="O103" s="29" t="str">
        <x:v>RULE_DERIVED</x:v>
      </x:c>
    </x:row>
    <x:row r="104">
      <x:c r="A104" s="29" t="str">
        <x:v>C30-20260807-010</x:v>
      </x:c>
      <x:c r="B104" s="32" t="n">
        <x:v>46241.634722222225</x:v>
      </x:c>
      <x:c r="C104" s="29" t="str">
        <x:v>C30</x:v>
      </x:c>
      <x:c r="D104" s="29" t="str">
        <x:v>DRY_MILD</x:v>
      </x:c>
      <x:c r="E104" s="35" t="n">
        <x:v>66.8</x:v>
      </x:c>
      <x:c r="F104" s="41" t="str">
        <x:v>偏干，骨料微裸露，流动性偏弱</x:v>
      </x:c>
      <x:c r="G104" s="38" t="n">
        <x:v>-29</x:v>
      </x:c>
      <x:c r="H104" s="38" t="n">
        <x:v>151</x:v>
      </x:c>
      <x:c r="I104" s="38" t="n">
        <x:v>505</x:v>
      </x:c>
      <x:c r="J104" s="35" t="n">
        <x:v>5.3</x:v>
      </x:c>
      <x:c r="K104" s="29" t="str">
        <x:v>轻微异常</x:v>
      </x:c>
      <x:c r="L104" s="41" t="str">
        <x:v>优先增加聚羧酸减水剂掺量0.1%，搅拌30s后复测，达标后出料。</x:v>
      </x:c>
      <x:c r="M104" s="29" t="str">
        <x:v>是</x:v>
      </x:c>
      <x:c r="N104" s="29" t="str">
        <x:f>IF(COUNTIFS('C30规则'!$A$5:$A$9,D104,'C30规则'!$C$5:$C$9,"&lt;="&amp;E104,'C30规则'!$D$5:$D$9,"&gt;="&amp;E104,'C30规则'!$E$5:$E$9,"&lt;="&amp;G104,'C30规则'!$F$5:$F$9,"&gt;="&amp;G104,'C30规则'!$G$5:$G$9,"&lt;="&amp;H104,'C30规则'!$H$5:$H$9,"&gt;="&amp;H104,'C30规则'!$I$5:$I$9,"&lt;="&amp;I104,'C30规则'!$J$5:$J$9,"&gt;="&amp;I104,'C30规则'!$K$5:$K$9,"&lt;="&amp;J104,'C30规则'!$L$5:$L$9,"&gt;="&amp;J104)=1,"通过","检查")</x:f>
        <x:v>通过</x:v>
      </x:c>
      <x:c r="O104" s="29" t="str">
        <x:v>RULE_DERIVED</x:v>
      </x:c>
    </x:row>
    <x:row r="105">
      <x:c r="A105" s="29" t="str">
        <x:v>C30-20260808-001</x:v>
      </x:c>
      <x:c r="B105" s="32" t="n">
        <x:v>46242.336805555555</x:v>
      </x:c>
      <x:c r="C105" s="29" t="str">
        <x:v>C30</x:v>
      </x:c>
      <x:c r="D105" s="29" t="str">
        <x:v>NORMAL</x:v>
      </x:c>
      <x:c r="E105" s="35" t="n">
        <x:v>56.1</x:v>
      </x:c>
      <x:c r="F105" s="41" t="str">
        <x:v>稠度适中，包裹性好，不泌水，不结块，泵送顺畅</x:v>
      </x:c>
      <x:c r="G105" s="38" t="n">
        <x:v>15</x:v>
      </x:c>
      <x:c r="H105" s="38" t="n">
        <x:v>195</x:v>
      </x:c>
      <x:c r="I105" s="38" t="n">
        <x:v>555</x:v>
      </x:c>
      <x:c r="J105" s="35" t="n">
        <x:v>2.9</x:v>
      </x:c>
      <x:c r="K105" s="29" t="str">
        <x:v>合格</x:v>
      </x:c>
      <x:c r="L105" s="41" t="str">
        <x:v>终止搅拌，直接出料；同步记录台账，留存实测参数备查。</x:v>
      </x:c>
      <x:c r="M105" s="29" t="str">
        <x:v>否</x:v>
      </x:c>
      <x:c r="N105" s="29" t="str">
        <x:f>IF(COUNTIFS('C30规则'!$A$5:$A$9,D105,'C30规则'!$C$5:$C$9,"&lt;="&amp;E105,'C30规则'!$D$5:$D$9,"&gt;="&amp;E105,'C30规则'!$E$5:$E$9,"&lt;="&amp;G105,'C30规则'!$F$5:$F$9,"&gt;="&amp;G105,'C30规则'!$G$5:$G$9,"&lt;="&amp;H105,'C30规则'!$H$5:$H$9,"&gt;="&amp;H105,'C30规则'!$I$5:$I$9,"&lt;="&amp;I105,'C30规则'!$J$5:$J$9,"&gt;="&amp;I105,'C30规则'!$K$5:$K$9,"&lt;="&amp;J105,'C30规则'!$L$5:$L$9,"&gt;="&amp;J105)=1,"通过","检查")</x:f>
        <x:v>通过</x:v>
      </x:c>
      <x:c r="O105" s="29" t="str">
        <x:v>RULE_DERIVED</x:v>
      </x:c>
    </x:row>
    <x:row r="106">
      <x:c r="A106" s="29" t="str">
        <x:v>C30-20260808-002</x:v>
      </x:c>
      <x:c r="B106" s="32" t="n">
        <x:v>46242.36875</x:v>
      </x:c>
      <x:c r="C106" s="29" t="str">
        <x:v>C30</x:v>
      </x:c>
      <x:c r="D106" s="29" t="str">
        <x:v>NORMAL</x:v>
      </x:c>
      <x:c r="E106" s="35" t="n">
        <x:v>56.6</x:v>
      </x:c>
      <x:c r="F106" s="41" t="str">
        <x:v>稠度适中，包裹性好，不泌水，不结块，泵送顺畅</x:v>
      </x:c>
      <x:c r="G106" s="38" t="n">
        <x:v>9</x:v>
      </x:c>
      <x:c r="H106" s="38" t="n">
        <x:v>189</x:v>
      </x:c>
      <x:c r="I106" s="38" t="n">
        <x:v>559</x:v>
      </x:c>
      <x:c r="J106" s="35" t="n">
        <x:v>3.2</x:v>
      </x:c>
      <x:c r="K106" s="29" t="str">
        <x:v>合格</x:v>
      </x:c>
      <x:c r="L106" s="41" t="str">
        <x:v>终止搅拌，直接出料；同步记录台账，留存实测参数备查。</x:v>
      </x:c>
      <x:c r="M106" s="29" t="str">
        <x:v>否</x:v>
      </x:c>
      <x:c r="N106" s="29" t="str">
        <x:f>IF(COUNTIFS('C30规则'!$A$5:$A$9,D106,'C30规则'!$C$5:$C$9,"&lt;="&amp;E106,'C30规则'!$D$5:$D$9,"&gt;="&amp;E106,'C30规则'!$E$5:$E$9,"&lt;="&amp;G106,'C30规则'!$F$5:$F$9,"&gt;="&amp;G106,'C30规则'!$G$5:$G$9,"&lt;="&amp;H106,'C30规则'!$H$5:$H$9,"&gt;="&amp;H106,'C30规则'!$I$5:$I$9,"&lt;="&amp;I106,'C30规则'!$J$5:$J$9,"&gt;="&amp;I106,'C30规则'!$K$5:$K$9,"&lt;="&amp;J106,'C30规则'!$L$5:$L$9,"&gt;="&amp;J106)=1,"通过","检查")</x:f>
        <x:v>通过</x:v>
      </x:c>
      <x:c r="O106" s="29" t="str">
        <x:v>RULE_DERIVED</x:v>
      </x:c>
    </x:row>
    <x:row r="107">
      <x:c r="A107" s="29" t="str">
        <x:v>C30-20260808-003</x:v>
      </x:c>
      <x:c r="B107" s="32" t="n">
        <x:v>46242.402083333334</x:v>
      </x:c>
      <x:c r="C107" s="29" t="str">
        <x:v>C30</x:v>
      </x:c>
      <x:c r="D107" s="29" t="str">
        <x:v>DRY_SEVERE</x:v>
      </x:c>
      <x:c r="E107" s="35" t="n">
        <x:v>76.5</x:v>
      </x:c>
      <x:c r="F107" s="41" t="str">
        <x:v>干涩，结块，挂壁，流动性极差，无法泵送</x:v>
      </x:c>
      <x:c r="G107" s="38" t="n">
        <x:v>-53</x:v>
      </x:c>
      <x:c r="H107" s="38" t="n">
        <x:v>127</x:v>
      </x:c>
      <x:c r="I107" s="38" t="n">
        <x:v>462</x:v>
      </x:c>
      <x:c r="J107" s="35" t="n">
        <x:v>6.6</x:v>
      </x:c>
      <x:c r="K107" s="29" t="str">
        <x:v>不合格</x:v>
      </x:c>
      <x:c r="L107" s="41" t="str">
        <x:v>优先补加0.2%减水剂和5kg清水，搅拌60s后复测。</x:v>
      </x:c>
      <x:c r="M107" s="29" t="str">
        <x:v>是</x:v>
      </x:c>
      <x:c r="N107" s="29" t="str">
        <x:f>IF(COUNTIFS('C30规则'!$A$5:$A$9,D107,'C30规则'!$C$5:$C$9,"&lt;="&amp;E107,'C30规则'!$D$5:$D$9,"&gt;="&amp;E107,'C30规则'!$E$5:$E$9,"&lt;="&amp;G107,'C30规则'!$F$5:$F$9,"&gt;="&amp;G107,'C30规则'!$G$5:$G$9,"&lt;="&amp;H107,'C30规则'!$H$5:$H$9,"&gt;="&amp;H107,'C30规则'!$I$5:$I$9,"&lt;="&amp;I107,'C30规则'!$J$5:$J$9,"&gt;="&amp;I107,'C30规则'!$K$5:$K$9,"&lt;="&amp;J107,'C30规则'!$L$5:$L$9,"&gt;="&amp;J107)=1,"通过","检查")</x:f>
        <x:v>通过</x:v>
      </x:c>
      <x:c r="O107" s="29" t="str">
        <x:v>RULE_DERIVED</x:v>
      </x:c>
    </x:row>
    <x:row r="108">
      <x:c r="A108" s="29" t="str">
        <x:v>C30-20260808-004</x:v>
      </x:c>
      <x:c r="B108" s="32" t="n">
        <x:v>46242.4375</x:v>
      </x:c>
      <x:c r="C108" s="29" t="str">
        <x:v>C30</x:v>
      </x:c>
      <x:c r="D108" s="29" t="str">
        <x:v>NORMAL</x:v>
      </x:c>
      <x:c r="E108" s="35" t="n">
        <x:v>55.6</x:v>
      </x:c>
      <x:c r="F108" s="41" t="str">
        <x:v>稠度适中，包裹性好，不泌水，不结块，泵送顺畅</x:v>
      </x:c>
      <x:c r="G108" s="38" t="n">
        <x:v>16</x:v>
      </x:c>
      <x:c r="H108" s="38" t="n">
        <x:v>196</x:v>
      </x:c>
      <x:c r="I108" s="38" t="n">
        <x:v>568</x:v>
      </x:c>
      <x:c r="J108" s="35" t="n">
        <x:v>2.9</x:v>
      </x:c>
      <x:c r="K108" s="29" t="str">
        <x:v>合格</x:v>
      </x:c>
      <x:c r="L108" s="41" t="str">
        <x:v>终止搅拌，直接出料；同步记录台账，留存实测参数备查。</x:v>
      </x:c>
      <x:c r="M108" s="29" t="str">
        <x:v>否</x:v>
      </x:c>
      <x:c r="N108" s="29" t="str">
        <x:f>IF(COUNTIFS('C30规则'!$A$5:$A$9,D108,'C30规则'!$C$5:$C$9,"&lt;="&amp;E108,'C30规则'!$D$5:$D$9,"&gt;="&amp;E108,'C30规则'!$E$5:$E$9,"&lt;="&amp;G108,'C30规则'!$F$5:$F$9,"&gt;="&amp;G108,'C30规则'!$G$5:$G$9,"&lt;="&amp;H108,'C30规则'!$H$5:$H$9,"&gt;="&amp;H108,'C30规则'!$I$5:$I$9,"&lt;="&amp;I108,'C30规则'!$J$5:$J$9,"&gt;="&amp;I108,'C30规则'!$K$5:$K$9,"&lt;="&amp;J108,'C30规则'!$L$5:$L$9,"&gt;="&amp;J108)=1,"通过","检查")</x:f>
        <x:v>通过</x:v>
      </x:c>
      <x:c r="O108" s="29" t="str">
        <x:v>RULE_DERIVED</x:v>
      </x:c>
    </x:row>
    <x:row r="109">
      <x:c r="A109" s="29" t="str">
        <x:v>C30-20260808-005</x:v>
      </x:c>
      <x:c r="B109" s="32" t="n">
        <x:v>46242.46666666667</x:v>
      </x:c>
      <x:c r="C109" s="29" t="str">
        <x:v>C30</x:v>
      </x:c>
      <x:c r="D109" s="29" t="str">
        <x:v>NORMAL</x:v>
      </x:c>
      <x:c r="E109" s="35" t="n">
        <x:v>58.6</x:v>
      </x:c>
      <x:c r="F109" s="41" t="str">
        <x:v>稠度适中，包裹性好，不泌水，不结块，泵送顺畅</x:v>
      </x:c>
      <x:c r="G109" s="38" t="n">
        <x:v>-10</x:v>
      </x:c>
      <x:c r="H109" s="38" t="n">
        <x:v>170</x:v>
      </x:c>
      <x:c r="I109" s="38" t="n">
        <x:v>544</x:v>
      </x:c>
      <x:c r="J109" s="35" t="n">
        <x:v>3.9</x:v>
      </x:c>
      <x:c r="K109" s="29" t="str">
        <x:v>合格</x:v>
      </x:c>
      <x:c r="L109" s="41" t="str">
        <x:v>终止搅拌，直接出料；同步记录台账，留存实测参数备查。</x:v>
      </x:c>
      <x:c r="M109" s="29" t="str">
        <x:v>否</x:v>
      </x:c>
      <x:c r="N109" s="29" t="str">
        <x:f>IF(COUNTIFS('C30规则'!$A$5:$A$9,D109,'C30规则'!$C$5:$C$9,"&lt;="&amp;E109,'C30规则'!$D$5:$D$9,"&gt;="&amp;E109,'C30规则'!$E$5:$E$9,"&lt;="&amp;G109,'C30规则'!$F$5:$F$9,"&gt;="&amp;G109,'C30规则'!$G$5:$G$9,"&lt;="&amp;H109,'C30规则'!$H$5:$H$9,"&gt;="&amp;H109,'C30规则'!$I$5:$I$9,"&lt;="&amp;I109,'C30规则'!$J$5:$J$9,"&gt;="&amp;I109,'C30规则'!$K$5:$K$9,"&lt;="&amp;J109,'C30规则'!$L$5:$L$9,"&gt;="&amp;J109)=1,"通过","检查")</x:f>
        <x:v>通过</x:v>
      </x:c>
      <x:c r="O109" s="29" t="str">
        <x:v>RULE_DERIVED</x:v>
      </x:c>
    </x:row>
    <x:row r="110">
      <x:c r="A110" s="29" t="str">
        <x:v>C30-20260808-006</x:v>
      </x:c>
      <x:c r="B110" s="32" t="n">
        <x:v>46242.50069444445</x:v>
      </x:c>
      <x:c r="C110" s="29" t="str">
        <x:v>C30</x:v>
      </x:c>
      <x:c r="D110" s="29" t="str">
        <x:v>NORMAL</x:v>
      </x:c>
      <x:c r="E110" s="35" t="n">
        <x:v>58.4</x:v>
      </x:c>
      <x:c r="F110" s="41" t="str">
        <x:v>稠度适中，包裹性好，不泌水，不结块，泵送顺畅</x:v>
      </x:c>
      <x:c r="G110" s="38" t="n">
        <x:v>-6</x:v>
      </x:c>
      <x:c r="H110" s="38" t="n">
        <x:v>174</x:v>
      </x:c>
      <x:c r="I110" s="38" t="n">
        <x:v>537</x:v>
      </x:c>
      <x:c r="J110" s="35" t="n">
        <x:v>3.7</x:v>
      </x:c>
      <x:c r="K110" s="29" t="str">
        <x:v>合格</x:v>
      </x:c>
      <x:c r="L110" s="41" t="str">
        <x:v>终止搅拌，直接出料；同步记录台账，留存实测参数备查。</x:v>
      </x:c>
      <x:c r="M110" s="29" t="str">
        <x:v>否</x:v>
      </x:c>
      <x:c r="N110" s="29" t="str">
        <x:f>IF(COUNTIFS('C30规则'!$A$5:$A$9,D110,'C30规则'!$C$5:$C$9,"&lt;="&amp;E110,'C30规则'!$D$5:$D$9,"&gt;="&amp;E110,'C30规则'!$E$5:$E$9,"&lt;="&amp;G110,'C30规则'!$F$5:$F$9,"&gt;="&amp;G110,'C30规则'!$G$5:$G$9,"&lt;="&amp;H110,'C30规则'!$H$5:$H$9,"&gt;="&amp;H110,'C30规则'!$I$5:$I$9,"&lt;="&amp;I110,'C30规则'!$J$5:$J$9,"&gt;="&amp;I110,'C30规则'!$K$5:$K$9,"&lt;="&amp;J110,'C30规则'!$L$5:$L$9,"&gt;="&amp;J110)=1,"通过","检查")</x:f>
        <x:v>通过</x:v>
      </x:c>
      <x:c r="O110" s="29" t="str">
        <x:v>RULE_DERIVED</x:v>
      </x:c>
    </x:row>
    <x:row r="111">
      <x:c r="A111" s="29" t="str">
        <x:v>C30-20260808-007</x:v>
      </x:c>
      <x:c r="B111" s="32" t="n">
        <x:v>46242.53472222222</x:v>
      </x:c>
      <x:c r="C111" s="29" t="str">
        <x:v>C30</x:v>
      </x:c>
      <x:c r="D111" s="29" t="str">
        <x:v>WET_MILD</x:v>
      </x:c>
      <x:c r="E111" s="35" t="n">
        <x:v>51.1</x:v>
      </x:c>
      <x:c r="F111" s="41" t="str">
        <x:v>偏稀，流动性偏大，无泌水</x:v>
      </x:c>
      <x:c r="G111" s="38" t="n">
        <x:v>24</x:v>
      </x:c>
      <x:c r="H111" s="38" t="n">
        <x:v>204</x:v>
      </x:c>
      <x:c r="I111" s="38" t="n">
        <x:v>598</x:v>
      </x:c>
      <x:c r="J111" s="35" t="n">
        <x:v>2</x:v>
      </x:c>
      <x:c r="K111" s="29" t="str">
        <x:v>轻微异常</x:v>
      </x:c>
      <x:c r="L111" s="41" t="str">
        <x:v>加入5–8kg/m³干砂，搅拌30s后复测，达标后正常出料并观察泵送。</x:v>
      </x:c>
      <x:c r="M111" s="29" t="str">
        <x:v>是</x:v>
      </x:c>
      <x:c r="N111" s="29" t="str">
        <x:f>IF(COUNTIFS('C30规则'!$A$5:$A$9,D111,'C30规则'!$C$5:$C$9,"&lt;="&amp;E111,'C30规则'!$D$5:$D$9,"&gt;="&amp;E111,'C30规则'!$E$5:$E$9,"&lt;="&amp;G111,'C30规则'!$F$5:$F$9,"&gt;="&amp;G111,'C30规则'!$G$5:$G$9,"&lt;="&amp;H111,'C30规则'!$H$5:$H$9,"&gt;="&amp;H111,'C30规则'!$I$5:$I$9,"&lt;="&amp;I111,'C30规则'!$J$5:$J$9,"&gt;="&amp;I111,'C30规则'!$K$5:$K$9,"&lt;="&amp;J111,'C30规则'!$L$5:$L$9,"&gt;="&amp;J111)=1,"通过","检查")</x:f>
        <x:v>通过</x:v>
      </x:c>
      <x:c r="O111" s="29" t="str">
        <x:v>RULE_DERIVED</x:v>
      </x:c>
    </x:row>
    <x:row r="112">
      <x:c r="A112" s="29" t="str">
        <x:v>C30-20260808-008</x:v>
      </x:c>
      <x:c r="B112" s="32" t="n">
        <x:v>46242.56736111111</x:v>
      </x:c>
      <x:c r="C112" s="29" t="str">
        <x:v>C30</x:v>
      </x:c>
      <x:c r="D112" s="29" t="str">
        <x:v>WET_SEVERE</x:v>
      </x:c>
      <x:c r="E112" s="35" t="n">
        <x:v>41.9</x:v>
      </x:c>
      <x:c r="F112" s="41" t="str">
        <x:v>过稀，泌水，离析，骨料下沉，存在堵泵风险</x:v>
      </x:c>
      <x:c r="G112" s="38" t="n">
        <x:v>54</x:v>
      </x:c>
      <x:c r="H112" s="38" t="n">
        <x:v>234</x:v>
      </x:c>
      <x:c r="I112" s="38" t="n">
        <x:v>648</x:v>
      </x:c>
      <x:c r="J112" s="35" t="n">
        <x:v>1.1</x:v>
      </x:c>
      <x:c r="K112" s="29" t="str">
        <x:v>不合格</x:v>
      </x:c>
      <x:c r="L112" s="41" t="str">
        <x:v>立即暂停出料；加入10–12kg/m³干砂和3–5kg/m³水泥，搅拌60s后复测；仍离析则废弃并排查计量系统。</x:v>
      </x:c>
      <x:c r="M112" s="29" t="str">
        <x:v>是</x:v>
      </x:c>
      <x:c r="N112" s="29" t="str">
        <x:f>IF(COUNTIFS('C30规则'!$A$5:$A$9,D112,'C30规则'!$C$5:$C$9,"&lt;="&amp;E112,'C30规则'!$D$5:$D$9,"&gt;="&amp;E112,'C30规则'!$E$5:$E$9,"&lt;="&amp;G112,'C30规则'!$F$5:$F$9,"&gt;="&amp;G112,'C30规则'!$G$5:$G$9,"&lt;="&amp;H112,'C30规则'!$H$5:$H$9,"&gt;="&amp;H112,'C30规则'!$I$5:$I$9,"&lt;="&amp;I112,'C30规则'!$J$5:$J$9,"&gt;="&amp;I112,'C30规则'!$K$5:$K$9,"&lt;="&amp;J112,'C30规则'!$L$5:$L$9,"&gt;="&amp;J112)=1,"通过","检查")</x:f>
        <x:v>通过</x:v>
      </x:c>
      <x:c r="O112" s="29" t="str">
        <x:v>RULE_DERIVED</x:v>
      </x:c>
    </x:row>
    <x:row r="113">
      <x:c r="A113" s="29" t="str">
        <x:v>C30-20260808-009</x:v>
      </x:c>
      <x:c r="B113" s="32" t="n">
        <x:v>46242.60138888889</x:v>
      </x:c>
      <x:c r="C113" s="29" t="str">
        <x:v>C30</x:v>
      </x:c>
      <x:c r="D113" s="29" t="str">
        <x:v>DRY_MILD</x:v>
      </x:c>
      <x:c r="E113" s="35" t="n">
        <x:v>65.8</x:v>
      </x:c>
      <x:c r="F113" s="41" t="str">
        <x:v>偏干，骨料微裸露，流动性偏弱</x:v>
      </x:c>
      <x:c r="G113" s="38" t="n">
        <x:v>-26</x:v>
      </x:c>
      <x:c r="H113" s="38" t="n">
        <x:v>154</x:v>
      </x:c>
      <x:c r="I113" s="38" t="n">
        <x:v>506</x:v>
      </x:c>
      <x:c r="J113" s="35" t="n">
        <x:v>5.1</x:v>
      </x:c>
      <x:c r="K113" s="29" t="str">
        <x:v>轻微异常</x:v>
      </x:c>
      <x:c r="L113" s="41" t="str">
        <x:v>优先增加聚羧酸减水剂掺量0.1%，搅拌30s后复测，达标后出料。</x:v>
      </x:c>
      <x:c r="M113" s="29" t="str">
        <x:v>是</x:v>
      </x:c>
      <x:c r="N113" s="29" t="str">
        <x:f>IF(COUNTIFS('C30规则'!$A$5:$A$9,D113,'C30规则'!$C$5:$C$9,"&lt;="&amp;E113,'C30规则'!$D$5:$D$9,"&gt;="&amp;E113,'C30规则'!$E$5:$E$9,"&lt;="&amp;G113,'C30规则'!$F$5:$F$9,"&gt;="&amp;G113,'C30规则'!$G$5:$G$9,"&lt;="&amp;H113,'C30规则'!$H$5:$H$9,"&gt;="&amp;H113,'C30规则'!$I$5:$I$9,"&lt;="&amp;I113,'C30规则'!$J$5:$J$9,"&gt;="&amp;I113,'C30规则'!$K$5:$K$9,"&lt;="&amp;J113,'C30规则'!$L$5:$L$9,"&gt;="&amp;J113)=1,"通过","检查")</x:f>
        <x:v>通过</x:v>
      </x:c>
      <x:c r="O113" s="29" t="str">
        <x:v>RULE_DERIVED</x:v>
      </x:c>
    </x:row>
    <x:row r="114">
      <x:c r="A114" s="29" t="str">
        <x:v>C30-20260808-010</x:v>
      </x:c>
      <x:c r="B114" s="32" t="n">
        <x:v>46242.6375</x:v>
      </x:c>
      <x:c r="C114" s="29" t="str">
        <x:v>C30</x:v>
      </x:c>
      <x:c r="D114" s="29" t="str">
        <x:v>NORMAL</x:v>
      </x:c>
      <x:c r="E114" s="35" t="n">
        <x:v>58.2</x:v>
      </x:c>
      <x:c r="F114" s="41" t="str">
        <x:v>稠度适中，包裹性好，不泌水，不结块，泵送顺畅</x:v>
      </x:c>
      <x:c r="G114" s="38" t="n">
        <x:v>-3</x:v>
      </x:c>
      <x:c r="H114" s="38" t="n">
        <x:v>177</x:v>
      </x:c>
      <x:c r="I114" s="38" t="n">
        <x:v>550</x:v>
      </x:c>
      <x:c r="J114" s="35" t="n">
        <x:v>3.9</x:v>
      </x:c>
      <x:c r="K114" s="29" t="str">
        <x:v>合格</x:v>
      </x:c>
      <x:c r="L114" s="41" t="str">
        <x:v>终止搅拌，直接出料；同步记录台账，留存实测参数备查。</x:v>
      </x:c>
      <x:c r="M114" s="29" t="str">
        <x:v>否</x:v>
      </x:c>
      <x:c r="N114" s="29" t="str">
        <x:f>IF(COUNTIFS('C30规则'!$A$5:$A$9,D114,'C30规则'!$C$5:$C$9,"&lt;="&amp;E114,'C30规则'!$D$5:$D$9,"&gt;="&amp;E114,'C30规则'!$E$5:$E$9,"&lt;="&amp;G114,'C30规则'!$F$5:$F$9,"&gt;="&amp;G114,'C30规则'!$G$5:$G$9,"&lt;="&amp;H114,'C30规则'!$H$5:$H$9,"&gt;="&amp;H114,'C30规则'!$I$5:$I$9,"&lt;="&amp;I114,'C30规则'!$J$5:$J$9,"&gt;="&amp;I114,'C30规则'!$K$5:$K$9,"&lt;="&amp;J114,'C30规则'!$L$5:$L$9,"&gt;="&amp;J114)=1,"通过","检查")</x:f>
        <x:v>通过</x:v>
      </x:c>
      <x:c r="O114" s="29" t="str">
        <x:v>RULE_DERIVED</x:v>
      </x:c>
    </x:row>
    <x:row r="115">
      <x:c r="A115" s="29" t="str">
        <x:v>C30-20260809-001</x:v>
      </x:c>
      <x:c r="B115" s="32" t="n">
        <x:v>46243.333333333336</x:v>
      </x:c>
      <x:c r="C115" s="29" t="str">
        <x:v>C30</x:v>
      </x:c>
      <x:c r="D115" s="29" t="str">
        <x:v>NORMAL</x:v>
      </x:c>
      <x:c r="E115" s="35" t="n">
        <x:v>58.4</x:v>
      </x:c>
      <x:c r="F115" s="41" t="str">
        <x:v>稠度适中，包裹性好，不泌水，不结块，泵送顺畅</x:v>
      </x:c>
      <x:c r="G115" s="38" t="n">
        <x:v>-8</x:v>
      </x:c>
      <x:c r="H115" s="38" t="n">
        <x:v>172</x:v>
      </x:c>
      <x:c r="I115" s="38" t="n">
        <x:v>540</x:v>
      </x:c>
      <x:c r="J115" s="35" t="n">
        <x:v>4</x:v>
      </x:c>
      <x:c r="K115" s="29" t="str">
        <x:v>合格</x:v>
      </x:c>
      <x:c r="L115" s="41" t="str">
        <x:v>终止搅拌，直接出料；同步记录台账，留存实测参数备查。</x:v>
      </x:c>
      <x:c r="M115" s="29" t="str">
        <x:v>否</x:v>
      </x:c>
      <x:c r="N115" s="29" t="str">
        <x:f>IF(COUNTIFS('C30规则'!$A$5:$A$9,D115,'C30规则'!$C$5:$C$9,"&lt;="&amp;E115,'C30规则'!$D$5:$D$9,"&gt;="&amp;E115,'C30规则'!$E$5:$E$9,"&lt;="&amp;G115,'C30规则'!$F$5:$F$9,"&gt;="&amp;G115,'C30规则'!$G$5:$G$9,"&lt;="&amp;H115,'C30规则'!$H$5:$H$9,"&gt;="&amp;H115,'C30规则'!$I$5:$I$9,"&lt;="&amp;I115,'C30规则'!$J$5:$J$9,"&gt;="&amp;I115,'C30规则'!$K$5:$K$9,"&lt;="&amp;J115,'C30规则'!$L$5:$L$9,"&gt;="&amp;J115)=1,"通过","检查")</x:f>
        <x:v>通过</x:v>
      </x:c>
      <x:c r="O115" s="29" t="str">
        <x:v>RULE_DERIVED</x:v>
      </x:c>
    </x:row>
    <x:row r="116">
      <x:c r="A116" s="29" t="str">
        <x:v>C30-20260809-002</x:v>
      </x:c>
      <x:c r="B116" s="32" t="n">
        <x:v>46243.36736111111</x:v>
      </x:c>
      <x:c r="C116" s="29" t="str">
        <x:v>C30</x:v>
      </x:c>
      <x:c r="D116" s="29" t="str">
        <x:v>NORMAL</x:v>
      </x:c>
      <x:c r="E116" s="35" t="n">
        <x:v>55.7</x:v>
      </x:c>
      <x:c r="F116" s="41" t="str">
        <x:v>稠度适中，包裹性好，不泌水，不结块，泵送顺畅</x:v>
      </x:c>
      <x:c r="G116" s="38" t="n">
        <x:v>12</x:v>
      </x:c>
      <x:c r="H116" s="38" t="n">
        <x:v>192</x:v>
      </x:c>
      <x:c r="I116" s="38" t="n">
        <x:v>564</x:v>
      </x:c>
      <x:c r="J116" s="35" t="n">
        <x:v>2.8</x:v>
      </x:c>
      <x:c r="K116" s="29" t="str">
        <x:v>合格</x:v>
      </x:c>
      <x:c r="L116" s="41" t="str">
        <x:v>终止搅拌，直接出料；同步记录台账，留存实测参数备查。</x:v>
      </x:c>
      <x:c r="M116" s="29" t="str">
        <x:v>否</x:v>
      </x:c>
      <x:c r="N116" s="29" t="str">
        <x:f>IF(COUNTIFS('C30规则'!$A$5:$A$9,D116,'C30规则'!$C$5:$C$9,"&lt;="&amp;E116,'C30规则'!$D$5:$D$9,"&gt;="&amp;E116,'C30规则'!$E$5:$E$9,"&lt;="&amp;G116,'C30规则'!$F$5:$F$9,"&gt;="&amp;G116,'C30规则'!$G$5:$G$9,"&lt;="&amp;H116,'C30规则'!$H$5:$H$9,"&gt;="&amp;H116,'C30规则'!$I$5:$I$9,"&lt;="&amp;I116,'C30规则'!$J$5:$J$9,"&gt;="&amp;I116,'C30规则'!$K$5:$K$9,"&lt;="&amp;J116,'C30规则'!$L$5:$L$9,"&gt;="&amp;J116)=1,"通过","检查")</x:f>
        <x:v>通过</x:v>
      </x:c>
      <x:c r="O116" s="29" t="str">
        <x:v>RULE_DERIVED</x:v>
      </x:c>
    </x:row>
    <x:row r="117">
      <x:c r="A117" s="29" t="str">
        <x:v>C30-20260809-003</x:v>
      </x:c>
      <x:c r="B117" s="32" t="n">
        <x:v>46243.404861111114</x:v>
      </x:c>
      <x:c r="C117" s="29" t="str">
        <x:v>C30</x:v>
      </x:c>
      <x:c r="D117" s="29" t="str">
        <x:v>DRY_SEVERE</x:v>
      </x:c>
      <x:c r="E117" s="35" t="n">
        <x:v>70.8</x:v>
      </x:c>
      <x:c r="F117" s="41" t="str">
        <x:v>干涩，结块，挂壁，流动性极差，无法泵送</x:v>
      </x:c>
      <x:c r="G117" s="38" t="n">
        <x:v>-42</x:v>
      </x:c>
      <x:c r="H117" s="38" t="n">
        <x:v>138</x:v>
      </x:c>
      <x:c r="I117" s="38" t="n">
        <x:v>490</x:v>
      </x:c>
      <x:c r="J117" s="35" t="n">
        <x:v>5.7</x:v>
      </x:c>
      <x:c r="K117" s="29" t="str">
        <x:v>不合格</x:v>
      </x:c>
      <x:c r="L117" s="41" t="str">
        <x:v>优先补加0.2%减水剂和5kg清水，搅拌60s后复测。</x:v>
      </x:c>
      <x:c r="M117" s="29" t="str">
        <x:v>是</x:v>
      </x:c>
      <x:c r="N117" s="29" t="str">
        <x:f>IF(COUNTIFS('C30规则'!$A$5:$A$9,D117,'C30规则'!$C$5:$C$9,"&lt;="&amp;E117,'C30规则'!$D$5:$D$9,"&gt;="&amp;E117,'C30规则'!$E$5:$E$9,"&lt;="&amp;G117,'C30规则'!$F$5:$F$9,"&gt;="&amp;G117,'C30规则'!$G$5:$G$9,"&lt;="&amp;H117,'C30规则'!$H$5:$H$9,"&gt;="&amp;H117,'C30规则'!$I$5:$I$9,"&lt;="&amp;I117,'C30规则'!$J$5:$J$9,"&gt;="&amp;I117,'C30规则'!$K$5:$K$9,"&lt;="&amp;J117,'C30规则'!$L$5:$L$9,"&gt;="&amp;J117)=1,"通过","检查")</x:f>
        <x:v>通过</x:v>
      </x:c>
      <x:c r="O117" s="29" t="str">
        <x:v>RULE_DERIVED</x:v>
      </x:c>
    </x:row>
    <x:row r="118">
      <x:c r="A118" s="29" t="str">
        <x:v>C30-20260809-004</x:v>
      </x:c>
      <x:c r="B118" s="32" t="n">
        <x:v>46243.43819444445</x:v>
      </x:c>
      <x:c r="C118" s="29" t="str">
        <x:v>C30</x:v>
      </x:c>
      <x:c r="D118" s="29" t="str">
        <x:v>NORMAL</x:v>
      </x:c>
      <x:c r="E118" s="35" t="n">
        <x:v>57.8</x:v>
      </x:c>
      <x:c r="F118" s="41" t="str">
        <x:v>稠度适中，包裹性好，不泌水，不结块，泵送顺畅</x:v>
      </x:c>
      <x:c r="G118" s="38" t="n">
        <x:v>-4</x:v>
      </x:c>
      <x:c r="H118" s="38" t="n">
        <x:v>176</x:v>
      </x:c>
      <x:c r="I118" s="38" t="n">
        <x:v>545</x:v>
      </x:c>
      <x:c r="J118" s="35" t="n">
        <x:v>3.6</x:v>
      </x:c>
      <x:c r="K118" s="29" t="str">
        <x:v>合格</x:v>
      </x:c>
      <x:c r="L118" s="41" t="str">
        <x:v>终止搅拌，直接出料；同步记录台账，留存实测参数备查。</x:v>
      </x:c>
      <x:c r="M118" s="29" t="str">
        <x:v>否</x:v>
      </x:c>
      <x:c r="N118" s="29" t="str">
        <x:f>IF(COUNTIFS('C30规则'!$A$5:$A$9,D118,'C30规则'!$C$5:$C$9,"&lt;="&amp;E118,'C30规则'!$D$5:$D$9,"&gt;="&amp;E118,'C30规则'!$E$5:$E$9,"&lt;="&amp;G118,'C30规则'!$F$5:$F$9,"&gt;="&amp;G118,'C30规则'!$G$5:$G$9,"&lt;="&amp;H118,'C30规则'!$H$5:$H$9,"&gt;="&amp;H118,'C30规则'!$I$5:$I$9,"&lt;="&amp;I118,'C30规则'!$J$5:$J$9,"&gt;="&amp;I118,'C30规则'!$K$5:$K$9,"&lt;="&amp;J118,'C30规则'!$L$5:$L$9,"&gt;="&amp;J118)=1,"通过","检查")</x:f>
        <x:v>通过</x:v>
      </x:c>
      <x:c r="O118" s="29" t="str">
        <x:v>RULE_DERIVED</x:v>
      </x:c>
    </x:row>
    <x:row r="119">
      <x:c r="A119" s="29" t="str">
        <x:v>C30-20260809-005</x:v>
      </x:c>
      <x:c r="B119" s="32" t="n">
        <x:v>46243.46666666667</x:v>
      </x:c>
      <x:c r="C119" s="29" t="str">
        <x:v>C30</x:v>
      </x:c>
      <x:c r="D119" s="29" t="str">
        <x:v>WET_MILD</x:v>
      </x:c>
      <x:c r="E119" s="35" t="n">
        <x:v>46</x:v>
      </x:c>
      <x:c r="F119" s="41" t="str">
        <x:v>偏稀，流动性偏大，无泌水</x:v>
      </x:c>
      <x:c r="G119" s="38" t="n">
        <x:v>26</x:v>
      </x:c>
      <x:c r="H119" s="38" t="n">
        <x:v>206</x:v>
      </x:c>
      <x:c r="I119" s="38" t="n">
        <x:v>605</x:v>
      </x:c>
      <x:c r="J119" s="35" t="n">
        <x:v>1.9</x:v>
      </x:c>
      <x:c r="K119" s="29" t="str">
        <x:v>轻微异常</x:v>
      </x:c>
      <x:c r="L119" s="41" t="str">
        <x:v>加入5–8kg/m³干砂，搅拌30s后复测，达标后正常出料并观察泵送。</x:v>
      </x:c>
      <x:c r="M119" s="29" t="str">
        <x:v>是</x:v>
      </x:c>
      <x:c r="N119" s="29" t="str">
        <x:f>IF(COUNTIFS('C30规则'!$A$5:$A$9,D119,'C30规则'!$C$5:$C$9,"&lt;="&amp;E119,'C30规则'!$D$5:$D$9,"&gt;="&amp;E119,'C30规则'!$E$5:$E$9,"&lt;="&amp;G119,'C30规则'!$F$5:$F$9,"&gt;="&amp;G119,'C30规则'!$G$5:$G$9,"&lt;="&amp;H119,'C30规则'!$H$5:$H$9,"&gt;="&amp;H119,'C30规则'!$I$5:$I$9,"&lt;="&amp;I119,'C30规则'!$J$5:$J$9,"&gt;="&amp;I119,'C30规则'!$K$5:$K$9,"&lt;="&amp;J119,'C30规则'!$L$5:$L$9,"&gt;="&amp;J119)=1,"通过","检查")</x:f>
        <x:v>通过</x:v>
      </x:c>
      <x:c r="O119" s="29" t="str">
        <x:v>RULE_DERIVED</x:v>
      </x:c>
    </x:row>
    <x:row r="120">
      <x:c r="A120" s="29" t="str">
        <x:v>C30-20260809-006</x:v>
      </x:c>
      <x:c r="B120" s="32" t="n">
        <x:v>46243.50277777778</x:v>
      </x:c>
      <x:c r="C120" s="29" t="str">
        <x:v>C30</x:v>
      </x:c>
      <x:c r="D120" s="29" t="str">
        <x:v>NORMAL</x:v>
      </x:c>
      <x:c r="E120" s="35" t="n">
        <x:v>55.9</x:v>
      </x:c>
      <x:c r="F120" s="41" t="str">
        <x:v>稠度适中，包裹性好，不泌水，不结块，泵送顺畅</x:v>
      </x:c>
      <x:c r="G120" s="38" t="n">
        <x:v>13</x:v>
      </x:c>
      <x:c r="H120" s="38" t="n">
        <x:v>193</x:v>
      </x:c>
      <x:c r="I120" s="38" t="n">
        <x:v>566</x:v>
      </x:c>
      <x:c r="J120" s="35" t="n">
        <x:v>3</x:v>
      </x:c>
      <x:c r="K120" s="29" t="str">
        <x:v>合格</x:v>
      </x:c>
      <x:c r="L120" s="41" t="str">
        <x:v>终止搅拌，直接出料；同步记录台账，留存实测参数备查。</x:v>
      </x:c>
      <x:c r="M120" s="29" t="str">
        <x:v>否</x:v>
      </x:c>
      <x:c r="N120" s="29" t="str">
        <x:f>IF(COUNTIFS('C30规则'!$A$5:$A$9,D120,'C30规则'!$C$5:$C$9,"&lt;="&amp;E120,'C30规则'!$D$5:$D$9,"&gt;="&amp;E120,'C30规则'!$E$5:$E$9,"&lt;="&amp;G120,'C30规则'!$F$5:$F$9,"&gt;="&amp;G120,'C30规则'!$G$5:$G$9,"&lt;="&amp;H120,'C30规则'!$H$5:$H$9,"&gt;="&amp;H120,'C30规则'!$I$5:$I$9,"&lt;="&amp;I120,'C30规则'!$J$5:$J$9,"&gt;="&amp;I120,'C30规则'!$K$5:$K$9,"&lt;="&amp;J120,'C30规则'!$L$5:$L$9,"&gt;="&amp;J120)=1,"通过","检查")</x:f>
        <x:v>通过</x:v>
      </x:c>
      <x:c r="O120" s="29" t="str">
        <x:v>RULE_DERIVED</x:v>
      </x:c>
    </x:row>
    <x:row r="121">
      <x:c r="A121" s="29" t="str">
        <x:v>C30-20260809-007</x:v>
      </x:c>
      <x:c r="B121" s="32" t="n">
        <x:v>46243.535416666666</x:v>
      </x:c>
      <x:c r="C121" s="29" t="str">
        <x:v>C30</x:v>
      </x:c>
      <x:c r="D121" s="29" t="str">
        <x:v>NORMAL</x:v>
      </x:c>
      <x:c r="E121" s="35" t="n">
        <x:v>56.9</x:v>
      </x:c>
      <x:c r="F121" s="41" t="str">
        <x:v>稠度适中，包裹性好，不泌水，不结块，泵送顺畅</x:v>
      </x:c>
      <x:c r="G121" s="38" t="n">
        <x:v>5</x:v>
      </x:c>
      <x:c r="H121" s="38" t="n">
        <x:v>185</x:v>
      </x:c>
      <x:c r="I121" s="38" t="n">
        <x:v>550</x:v>
      </x:c>
      <x:c r="J121" s="35" t="n">
        <x:v>3.3</x:v>
      </x:c>
      <x:c r="K121" s="29" t="str">
        <x:v>合格</x:v>
      </x:c>
      <x:c r="L121" s="41" t="str">
        <x:v>终止搅拌，直接出料；同步记录台账，留存实测参数备查。</x:v>
      </x:c>
      <x:c r="M121" s="29" t="str">
        <x:v>否</x:v>
      </x:c>
      <x:c r="N121" s="29" t="str">
        <x:f>IF(COUNTIFS('C30规则'!$A$5:$A$9,D121,'C30规则'!$C$5:$C$9,"&lt;="&amp;E121,'C30规则'!$D$5:$D$9,"&gt;="&amp;E121,'C30规则'!$E$5:$E$9,"&lt;="&amp;G121,'C30规则'!$F$5:$F$9,"&gt;="&amp;G121,'C30规则'!$G$5:$G$9,"&lt;="&amp;H121,'C30规则'!$H$5:$H$9,"&gt;="&amp;H121,'C30规则'!$I$5:$I$9,"&lt;="&amp;I121,'C30规则'!$J$5:$J$9,"&gt;="&amp;I121,'C30规则'!$K$5:$K$9,"&lt;="&amp;J121,'C30规则'!$L$5:$L$9,"&gt;="&amp;J121)=1,"通过","检查")</x:f>
        <x:v>通过</x:v>
      </x:c>
      <x:c r="O121" s="29" t="str">
        <x:v>RULE_DERIVED</x:v>
      </x:c>
    </x:row>
    <x:row r="122">
      <x:c r="A122" s="29" t="str">
        <x:v>C30-20260809-008</x:v>
      </x:c>
      <x:c r="B122" s="32" t="n">
        <x:v>46243.57083333333</x:v>
      </x:c>
      <x:c r="C122" s="29" t="str">
        <x:v>C30</x:v>
      </x:c>
      <x:c r="D122" s="29" t="str">
        <x:v>DRY_MILD</x:v>
      </x:c>
      <x:c r="E122" s="35" t="n">
        <x:v>69.1</x:v>
      </x:c>
      <x:c r="F122" s="41" t="str">
        <x:v>偏干，骨料微裸露，流动性偏弱</x:v>
      </x:c>
      <x:c r="G122" s="38" t="n">
        <x:v>-26</x:v>
      </x:c>
      <x:c r="H122" s="38" t="n">
        <x:v>154</x:v>
      </x:c>
      <x:c r="I122" s="38" t="n">
        <x:v>500</x:v>
      </x:c>
      <x:c r="J122" s="35" t="n">
        <x:v>5.4</x:v>
      </x:c>
      <x:c r="K122" s="29" t="str">
        <x:v>轻微异常</x:v>
      </x:c>
      <x:c r="L122" s="41" t="str">
        <x:v>优先增加聚羧酸减水剂掺量0.1%，搅拌30s后复测，达标后出料。</x:v>
      </x:c>
      <x:c r="M122" s="29" t="str">
        <x:v>是</x:v>
      </x:c>
      <x:c r="N122" s="29" t="str">
        <x:f>IF(COUNTIFS('C30规则'!$A$5:$A$9,D122,'C30规则'!$C$5:$C$9,"&lt;="&amp;E122,'C30规则'!$D$5:$D$9,"&gt;="&amp;E122,'C30规则'!$E$5:$E$9,"&lt;="&amp;G122,'C30规则'!$F$5:$F$9,"&gt;="&amp;G122,'C30规则'!$G$5:$G$9,"&lt;="&amp;H122,'C30规则'!$H$5:$H$9,"&gt;="&amp;H122,'C30规则'!$I$5:$I$9,"&lt;="&amp;I122,'C30规则'!$J$5:$J$9,"&gt;="&amp;I122,'C30规则'!$K$5:$K$9,"&lt;="&amp;J122,'C30规则'!$L$5:$L$9,"&gt;="&amp;J122)=1,"通过","检查")</x:f>
        <x:v>通过</x:v>
      </x:c>
      <x:c r="O122" s="29" t="str">
        <x:v>RULE_DERIVED</x:v>
      </x:c>
    </x:row>
    <x:row r="123">
      <x:c r="A123" s="29" t="str">
        <x:v>C30-20260809-009</x:v>
      </x:c>
      <x:c r="B123" s="32" t="n">
        <x:v>46243.6</x:v>
      </x:c>
      <x:c r="C123" s="29" t="str">
        <x:v>C30</x:v>
      </x:c>
      <x:c r="D123" s="29" t="str">
        <x:v>NORMAL</x:v>
      </x:c>
      <x:c r="E123" s="35" t="n">
        <x:v>55.9</x:v>
      </x:c>
      <x:c r="F123" s="41" t="str">
        <x:v>稠度适中，包裹性好，不泌水，不结块，泵送顺畅</x:v>
      </x:c>
      <x:c r="G123" s="38" t="n">
        <x:v>15</x:v>
      </x:c>
      <x:c r="H123" s="38" t="n">
        <x:v>195</x:v>
      </x:c>
      <x:c r="I123" s="38" t="n">
        <x:v>559</x:v>
      </x:c>
      <x:c r="J123" s="35" t="n">
        <x:v>2.8</x:v>
      </x:c>
      <x:c r="K123" s="29" t="str">
        <x:v>合格</x:v>
      </x:c>
      <x:c r="L123" s="41" t="str">
        <x:v>终止搅拌，直接出料；同步记录台账，留存实测参数备查。</x:v>
      </x:c>
      <x:c r="M123" s="29" t="str">
        <x:v>否</x:v>
      </x:c>
      <x:c r="N123" s="29" t="str">
        <x:f>IF(COUNTIFS('C30规则'!$A$5:$A$9,D123,'C30规则'!$C$5:$C$9,"&lt;="&amp;E123,'C30规则'!$D$5:$D$9,"&gt;="&amp;E123,'C30规则'!$E$5:$E$9,"&lt;="&amp;G123,'C30规则'!$F$5:$F$9,"&gt;="&amp;G123,'C30规则'!$G$5:$G$9,"&lt;="&amp;H123,'C30规则'!$H$5:$H$9,"&gt;="&amp;H123,'C30规则'!$I$5:$I$9,"&lt;="&amp;I123,'C30规则'!$J$5:$J$9,"&gt;="&amp;I123,'C30规则'!$K$5:$K$9,"&lt;="&amp;J123,'C30规则'!$L$5:$L$9,"&gt;="&amp;J123)=1,"通过","检查")</x:f>
        <x:v>通过</x:v>
      </x:c>
      <x:c r="O123" s="29" t="str">
        <x:v>RULE_DERIVED</x:v>
      </x:c>
    </x:row>
    <x:row r="124">
      <x:c r="A124" s="29" t="str">
        <x:v>C30-20260809-010</x:v>
      </x:c>
      <x:c r="B124" s="32" t="n">
        <x:v>46243.63611111111</x:v>
      </x:c>
      <x:c r="C124" s="29" t="str">
        <x:v>C30</x:v>
      </x:c>
      <x:c r="D124" s="29" t="str">
        <x:v>NORMAL</x:v>
      </x:c>
      <x:c r="E124" s="35" t="n">
        <x:v>59.1</x:v>
      </x:c>
      <x:c r="F124" s="41" t="str">
        <x:v>稠度适中，包裹性好，不泌水，不结块，泵送顺畅</x:v>
      </x:c>
      <x:c r="G124" s="38" t="n">
        <x:v>-16</x:v>
      </x:c>
      <x:c r="H124" s="38" t="n">
        <x:v>164</x:v>
      </x:c>
      <x:c r="I124" s="38" t="n">
        <x:v>535</x:v>
      </x:c>
      <x:c r="J124" s="35" t="n">
        <x:v>4.3</x:v>
      </x:c>
      <x:c r="K124" s="29" t="str">
        <x:v>合格</x:v>
      </x:c>
      <x:c r="L124" s="41" t="str">
        <x:v>终止搅拌，直接出料；同步记录台账，留存实测参数备查。</x:v>
      </x:c>
      <x:c r="M124" s="29" t="str">
        <x:v>否</x:v>
      </x:c>
      <x:c r="N124" s="29" t="str">
        <x:f>IF(COUNTIFS('C30规则'!$A$5:$A$9,D124,'C30规则'!$C$5:$C$9,"&lt;="&amp;E124,'C30规则'!$D$5:$D$9,"&gt;="&amp;E124,'C30规则'!$E$5:$E$9,"&lt;="&amp;G124,'C30规则'!$F$5:$F$9,"&gt;="&amp;G124,'C30规则'!$G$5:$G$9,"&lt;="&amp;H124,'C30规则'!$H$5:$H$9,"&gt;="&amp;H124,'C30规则'!$I$5:$I$9,"&lt;="&amp;I124,'C30规则'!$J$5:$J$9,"&gt;="&amp;I124,'C30规则'!$K$5:$K$9,"&lt;="&amp;J124,'C30规则'!$L$5:$L$9,"&gt;="&amp;J124)=1,"通过","检查")</x:f>
        <x:v>通过</x:v>
      </x:c>
      <x:c r="O124" s="29" t="str">
        <x:v>RULE_DERIVED</x:v>
      </x:c>
    </x:row>
    <x:row r="125">
      <x:c r="A125" s="29" t="str">
        <x:v>C30-20260810-001</x:v>
      </x:c>
      <x:c r="B125" s="32" t="n">
        <x:v>46244.33611111111</x:v>
      </x:c>
      <x:c r="C125" s="29" t="str">
        <x:v>C30</x:v>
      </x:c>
      <x:c r="D125" s="29" t="str">
        <x:v>DRY_MILD</x:v>
      </x:c>
      <x:c r="E125" s="35" t="n">
        <x:v>63.1</x:v>
      </x:c>
      <x:c r="F125" s="41" t="str">
        <x:v>偏干，骨料微裸露，流动性偏弱</x:v>
      </x:c>
      <x:c r="G125" s="38" t="n">
        <x:v>-20</x:v>
      </x:c>
      <x:c r="H125" s="38" t="n">
        <x:v>160</x:v>
      </x:c>
      <x:c r="I125" s="38" t="n">
        <x:v>509</x:v>
      </x:c>
      <x:c r="J125" s="35" t="n">
        <x:v>4.9</x:v>
      </x:c>
      <x:c r="K125" s="29" t="str">
        <x:v>轻微异常</x:v>
      </x:c>
      <x:c r="L125" s="41" t="str">
        <x:v>优先增加聚羧酸减水剂掺量0.1%，搅拌30s后复测，达标后出料。</x:v>
      </x:c>
      <x:c r="M125" s="29" t="str">
        <x:v>是</x:v>
      </x:c>
      <x:c r="N125" s="29" t="str">
        <x:f>IF(COUNTIFS('C30规则'!$A$5:$A$9,D125,'C30规则'!$C$5:$C$9,"&lt;="&amp;E125,'C30规则'!$D$5:$D$9,"&gt;="&amp;E125,'C30规则'!$E$5:$E$9,"&lt;="&amp;G125,'C30规则'!$F$5:$F$9,"&gt;="&amp;G125,'C30规则'!$G$5:$G$9,"&lt;="&amp;H125,'C30规则'!$H$5:$H$9,"&gt;="&amp;H125,'C30规则'!$I$5:$I$9,"&lt;="&amp;I125,'C30规则'!$J$5:$J$9,"&gt;="&amp;I125,'C30规则'!$K$5:$K$9,"&lt;="&amp;J125,'C30规则'!$L$5:$L$9,"&gt;="&amp;J125)=1,"通过","检查")</x:f>
        <x:v>通过</x:v>
      </x:c>
      <x:c r="O125" s="29" t="str">
        <x:v>RULE_DERIVED</x:v>
      </x:c>
    </x:row>
    <x:row r="126">
      <x:c r="A126" s="29" t="str">
        <x:v>C30-20260810-002</x:v>
      </x:c>
      <x:c r="B126" s="32" t="n">
        <x:v>46244.36666666667</x:v>
      </x:c>
      <x:c r="C126" s="29" t="str">
        <x:v>C30</x:v>
      </x:c>
      <x:c r="D126" s="29" t="str">
        <x:v>NORMAL</x:v>
      </x:c>
      <x:c r="E126" s="35" t="n">
        <x:v>56</x:v>
      </x:c>
      <x:c r="F126" s="41" t="str">
        <x:v>稠度适中，包裹性好，不泌水，不结块，泵送顺畅</x:v>
      </x:c>
      <x:c r="G126" s="38" t="n">
        <x:v>12</x:v>
      </x:c>
      <x:c r="H126" s="38" t="n">
        <x:v>192</x:v>
      </x:c>
      <x:c r="I126" s="38" t="n">
        <x:v>560</x:v>
      </x:c>
      <x:c r="J126" s="35" t="n">
        <x:v>2.8</x:v>
      </x:c>
      <x:c r="K126" s="29" t="str">
        <x:v>合格</x:v>
      </x:c>
      <x:c r="L126" s="41" t="str">
        <x:v>终止搅拌，直接出料；同步记录台账，留存实测参数备查。</x:v>
      </x:c>
      <x:c r="M126" s="29" t="str">
        <x:v>否</x:v>
      </x:c>
      <x:c r="N126" s="29" t="str">
        <x:f>IF(COUNTIFS('C30规则'!$A$5:$A$9,D126,'C30规则'!$C$5:$C$9,"&lt;="&amp;E126,'C30规则'!$D$5:$D$9,"&gt;="&amp;E126,'C30规则'!$E$5:$E$9,"&lt;="&amp;G126,'C30规则'!$F$5:$F$9,"&gt;="&amp;G126,'C30规则'!$G$5:$G$9,"&lt;="&amp;H126,'C30规则'!$H$5:$H$9,"&gt;="&amp;H126,'C30规则'!$I$5:$I$9,"&lt;="&amp;I126,'C30规则'!$J$5:$J$9,"&gt;="&amp;I126,'C30规则'!$K$5:$K$9,"&lt;="&amp;J126,'C30规则'!$L$5:$L$9,"&gt;="&amp;J126)=1,"通过","检查")</x:f>
        <x:v>通过</x:v>
      </x:c>
      <x:c r="O126" s="29" t="str">
        <x:v>RULE_DERIVED</x:v>
      </x:c>
    </x:row>
    <x:row r="127">
      <x:c r="A127" s="29" t="str">
        <x:v>C30-20260810-003</x:v>
      </x:c>
      <x:c r="B127" s="32" t="n">
        <x:v>46244.404861111114</x:v>
      </x:c>
      <x:c r="C127" s="29" t="str">
        <x:v>C30</x:v>
      </x:c>
      <x:c r="D127" s="29" t="str">
        <x:v>NORMAL</x:v>
      </x:c>
      <x:c r="E127" s="35" t="n">
        <x:v>57.8</x:v>
      </x:c>
      <x:c r="F127" s="41" t="str">
        <x:v>稠度适中，包裹性好，不泌水，不结块，泵送顺畅</x:v>
      </x:c>
      <x:c r="G127" s="38" t="n">
        <x:v>0</x:v>
      </x:c>
      <x:c r="H127" s="38" t="n">
        <x:v>180</x:v>
      </x:c>
      <x:c r="I127" s="38" t="n">
        <x:v>541</x:v>
      </x:c>
      <x:c r="J127" s="35" t="n">
        <x:v>3.6</x:v>
      </x:c>
      <x:c r="K127" s="29" t="str">
        <x:v>合格</x:v>
      </x:c>
      <x:c r="L127" s="41" t="str">
        <x:v>终止搅拌，直接出料；同步记录台账，留存实测参数备查。</x:v>
      </x:c>
      <x:c r="M127" s="29" t="str">
        <x:v>否</x:v>
      </x:c>
      <x:c r="N127" s="29" t="str">
        <x:f>IF(COUNTIFS('C30规则'!$A$5:$A$9,D127,'C30规则'!$C$5:$C$9,"&lt;="&amp;E127,'C30规则'!$D$5:$D$9,"&gt;="&amp;E127,'C30规则'!$E$5:$E$9,"&lt;="&amp;G127,'C30规则'!$F$5:$F$9,"&gt;="&amp;G127,'C30规则'!$G$5:$G$9,"&lt;="&amp;H127,'C30规则'!$H$5:$H$9,"&gt;="&amp;H127,'C30规则'!$I$5:$I$9,"&lt;="&amp;I127,'C30规则'!$J$5:$J$9,"&gt;="&amp;I127,'C30规则'!$K$5:$K$9,"&lt;="&amp;J127,'C30规则'!$L$5:$L$9,"&gt;="&amp;J127)=1,"通过","检查")</x:f>
        <x:v>通过</x:v>
      </x:c>
      <x:c r="O127" s="29" t="str">
        <x:v>RULE_DERIVED</x:v>
      </x:c>
    </x:row>
    <x:row r="128">
      <x:c r="A128" s="29" t="str">
        <x:v>C30-20260810-004</x:v>
      </x:c>
      <x:c r="B128" s="32" t="n">
        <x:v>46244.436111111114</x:v>
      </x:c>
      <x:c r="C128" s="29" t="str">
        <x:v>C30</x:v>
      </x:c>
      <x:c r="D128" s="29" t="str">
        <x:v>NORMAL</x:v>
      </x:c>
      <x:c r="E128" s="35" t="n">
        <x:v>57</x:v>
      </x:c>
      <x:c r="F128" s="41" t="str">
        <x:v>稠度适中，包裹性好，不泌水，不结块，泵送顺畅</x:v>
      </x:c>
      <x:c r="G128" s="38" t="n">
        <x:v>7</x:v>
      </x:c>
      <x:c r="H128" s="38" t="n">
        <x:v>187</x:v>
      </x:c>
      <x:c r="I128" s="38" t="n">
        <x:v>558</x:v>
      </x:c>
      <x:c r="J128" s="35" t="n">
        <x:v>3.3</x:v>
      </x:c>
      <x:c r="K128" s="29" t="str">
        <x:v>合格</x:v>
      </x:c>
      <x:c r="L128" s="41" t="str">
        <x:v>终止搅拌，直接出料；同步记录台账，留存实测参数备查。</x:v>
      </x:c>
      <x:c r="M128" s="29" t="str">
        <x:v>否</x:v>
      </x:c>
      <x:c r="N128" s="29" t="str">
        <x:f>IF(COUNTIFS('C30规则'!$A$5:$A$9,D128,'C30规则'!$C$5:$C$9,"&lt;="&amp;E128,'C30规则'!$D$5:$D$9,"&gt;="&amp;E128,'C30规则'!$E$5:$E$9,"&lt;="&amp;G128,'C30规则'!$F$5:$F$9,"&gt;="&amp;G128,'C30规则'!$G$5:$G$9,"&lt;="&amp;H128,'C30规则'!$H$5:$H$9,"&gt;="&amp;H128,'C30规则'!$I$5:$I$9,"&lt;="&amp;I128,'C30规则'!$J$5:$J$9,"&gt;="&amp;I128,'C30规则'!$K$5:$K$9,"&lt;="&amp;J128,'C30规则'!$L$5:$L$9,"&gt;="&amp;J128)=1,"通过","检查")</x:f>
        <x:v>通过</x:v>
      </x:c>
      <x:c r="O128" s="29" t="str">
        <x:v>RULE_DERIVED</x:v>
      </x:c>
    </x:row>
    <x:row r="129">
      <x:c r="A129" s="29" t="str">
        <x:v>C30-20260810-005</x:v>
      </x:c>
      <x:c r="B129" s="32" t="n">
        <x:v>46244.46805555555</x:v>
      </x:c>
      <x:c r="C129" s="29" t="str">
        <x:v>C30</x:v>
      </x:c>
      <x:c r="D129" s="29" t="str">
        <x:v>NORMAL</x:v>
      </x:c>
      <x:c r="E129" s="35" t="n">
        <x:v>56.2</x:v>
      </x:c>
      <x:c r="F129" s="41" t="str">
        <x:v>稠度适中，包裹性好，不泌水，不结块，泵送顺畅</x:v>
      </x:c>
      <x:c r="G129" s="38" t="n">
        <x:v>7</x:v>
      </x:c>
      <x:c r="H129" s="38" t="n">
        <x:v>187</x:v>
      </x:c>
      <x:c r="I129" s="38" t="n">
        <x:v>565</x:v>
      </x:c>
      <x:c r="J129" s="35" t="n">
        <x:v>3.1</x:v>
      </x:c>
      <x:c r="K129" s="29" t="str">
        <x:v>合格</x:v>
      </x:c>
      <x:c r="L129" s="41" t="str">
        <x:v>终止搅拌，直接出料；同步记录台账，留存实测参数备查。</x:v>
      </x:c>
      <x:c r="M129" s="29" t="str">
        <x:v>否</x:v>
      </x:c>
      <x:c r="N129" s="29" t="str">
        <x:f>IF(COUNTIFS('C30规则'!$A$5:$A$9,D129,'C30规则'!$C$5:$C$9,"&lt;="&amp;E129,'C30规则'!$D$5:$D$9,"&gt;="&amp;E129,'C30规则'!$E$5:$E$9,"&lt;="&amp;G129,'C30规则'!$F$5:$F$9,"&gt;="&amp;G129,'C30规则'!$G$5:$G$9,"&lt;="&amp;H129,'C30规则'!$H$5:$H$9,"&gt;="&amp;H129,'C30规则'!$I$5:$I$9,"&lt;="&amp;I129,'C30规则'!$J$5:$J$9,"&gt;="&amp;I129,'C30规则'!$K$5:$K$9,"&lt;="&amp;J129,'C30规则'!$L$5:$L$9,"&gt;="&amp;J129)=1,"通过","检查")</x:f>
        <x:v>通过</x:v>
      </x:c>
      <x:c r="O129" s="29" t="str">
        <x:v>RULE_DERIVED</x:v>
      </x:c>
    </x:row>
    <x:row r="130">
      <x:c r="A130" s="29" t="str">
        <x:v>C30-20260810-006</x:v>
      </x:c>
      <x:c r="B130" s="32" t="n">
        <x:v>46244.50277777778</x:v>
      </x:c>
      <x:c r="C130" s="29" t="str">
        <x:v>C30</x:v>
      </x:c>
      <x:c r="D130" s="29" t="str">
        <x:v>NORMAL</x:v>
      </x:c>
      <x:c r="E130" s="35" t="n">
        <x:v>55.9</x:v>
      </x:c>
      <x:c r="F130" s="41" t="str">
        <x:v>稠度适中，包裹性好，不泌水，不结块，泵送顺畅</x:v>
      </x:c>
      <x:c r="G130" s="38" t="n">
        <x:v>14</x:v>
      </x:c>
      <x:c r="H130" s="38" t="n">
        <x:v>194</x:v>
      </x:c>
      <x:c r="I130" s="38" t="n">
        <x:v>559</x:v>
      </x:c>
      <x:c r="J130" s="35" t="n">
        <x:v>2.8</x:v>
      </x:c>
      <x:c r="K130" s="29" t="str">
        <x:v>合格</x:v>
      </x:c>
      <x:c r="L130" s="41" t="str">
        <x:v>终止搅拌，直接出料；同步记录台账，留存实测参数备查。</x:v>
      </x:c>
      <x:c r="M130" s="29" t="str">
        <x:v>否</x:v>
      </x:c>
      <x:c r="N130" s="29" t="str">
        <x:f>IF(COUNTIFS('C30规则'!$A$5:$A$9,D130,'C30规则'!$C$5:$C$9,"&lt;="&amp;E130,'C30规则'!$D$5:$D$9,"&gt;="&amp;E130,'C30规则'!$E$5:$E$9,"&lt;="&amp;G130,'C30规则'!$F$5:$F$9,"&gt;="&amp;G130,'C30规则'!$G$5:$G$9,"&lt;="&amp;H130,'C30规则'!$H$5:$H$9,"&gt;="&amp;H130,'C30规则'!$I$5:$I$9,"&lt;="&amp;I130,'C30规则'!$J$5:$J$9,"&gt;="&amp;I130,'C30规则'!$K$5:$K$9,"&lt;="&amp;J130,'C30规则'!$L$5:$L$9,"&gt;="&amp;J130)=1,"通过","检查")</x:f>
        <x:v>通过</x:v>
      </x:c>
      <x:c r="O130" s="29" t="str">
        <x:v>RULE_DERIVED</x:v>
      </x:c>
    </x:row>
    <x:row r="131">
      <x:c r="A131" s="29" t="str">
        <x:v>C30-20260810-007</x:v>
      </x:c>
      <x:c r="B131" s="32" t="n">
        <x:v>46244.53611111111</x:v>
      </x:c>
      <x:c r="C131" s="29" t="str">
        <x:v>C30</x:v>
      </x:c>
      <x:c r="D131" s="29" t="str">
        <x:v>NORMAL</x:v>
      </x:c>
      <x:c r="E131" s="35" t="n">
        <x:v>57.6</x:v>
      </x:c>
      <x:c r="F131" s="41" t="str">
        <x:v>稠度适中，包裹性好，不泌水，不结块，泵送顺畅</x:v>
      </x:c>
      <x:c r="G131" s="38" t="n">
        <x:v>2</x:v>
      </x:c>
      <x:c r="H131" s="38" t="n">
        <x:v>182</x:v>
      </x:c>
      <x:c r="I131" s="38" t="n">
        <x:v>555</x:v>
      </x:c>
      <x:c r="J131" s="35" t="n">
        <x:v>3.4</x:v>
      </x:c>
      <x:c r="K131" s="29" t="str">
        <x:v>合格</x:v>
      </x:c>
      <x:c r="L131" s="41" t="str">
        <x:v>终止搅拌，直接出料；同步记录台账，留存实测参数备查。</x:v>
      </x:c>
      <x:c r="M131" s="29" t="str">
        <x:v>否</x:v>
      </x:c>
      <x:c r="N131" s="29" t="str">
        <x:f>IF(COUNTIFS('C30规则'!$A$5:$A$9,D131,'C30规则'!$C$5:$C$9,"&lt;="&amp;E131,'C30规则'!$D$5:$D$9,"&gt;="&amp;E131,'C30规则'!$E$5:$E$9,"&lt;="&amp;G131,'C30规则'!$F$5:$F$9,"&gt;="&amp;G131,'C30规则'!$G$5:$G$9,"&lt;="&amp;H131,'C30规则'!$H$5:$H$9,"&gt;="&amp;H131,'C30规则'!$I$5:$I$9,"&lt;="&amp;I131,'C30规则'!$J$5:$J$9,"&gt;="&amp;I131,'C30规则'!$K$5:$K$9,"&lt;="&amp;J131,'C30规则'!$L$5:$L$9,"&gt;="&amp;J131)=1,"通过","检查")</x:f>
        <x:v>通过</x:v>
      </x:c>
      <x:c r="O131" s="29" t="str">
        <x:v>RULE_DERIVED</x:v>
      </x:c>
    </x:row>
    <x:row r="132">
      <x:c r="A132" s="29" t="str">
        <x:v>C30-20260810-008</x:v>
      </x:c>
      <x:c r="B132" s="32" t="n">
        <x:v>46244.569444444445</x:v>
      </x:c>
      <x:c r="C132" s="29" t="str">
        <x:v>C30</x:v>
      </x:c>
      <x:c r="D132" s="29" t="str">
        <x:v>NORMAL</x:v>
      </x:c>
      <x:c r="E132" s="35" t="n">
        <x:v>56</x:v>
      </x:c>
      <x:c r="F132" s="41" t="str">
        <x:v>稠度适中，包裹性好，不泌水，不结块，泵送顺畅</x:v>
      </x:c>
      <x:c r="G132" s="38" t="n">
        <x:v>14</x:v>
      </x:c>
      <x:c r="H132" s="38" t="n">
        <x:v>194</x:v>
      </x:c>
      <x:c r="I132" s="38" t="n">
        <x:v>560</x:v>
      </x:c>
      <x:c r="J132" s="35" t="n">
        <x:v>3</x:v>
      </x:c>
      <x:c r="K132" s="29" t="str">
        <x:v>合格</x:v>
      </x:c>
      <x:c r="L132" s="41" t="str">
        <x:v>终止搅拌，直接出料；同步记录台账，留存实测参数备查。</x:v>
      </x:c>
      <x:c r="M132" s="29" t="str">
        <x:v>否</x:v>
      </x:c>
      <x:c r="N132" s="29" t="str">
        <x:f>IF(COUNTIFS('C30规则'!$A$5:$A$9,D132,'C30规则'!$C$5:$C$9,"&lt;="&amp;E132,'C30规则'!$D$5:$D$9,"&gt;="&amp;E132,'C30规则'!$E$5:$E$9,"&lt;="&amp;G132,'C30规则'!$F$5:$F$9,"&gt;="&amp;G132,'C30规则'!$G$5:$G$9,"&lt;="&amp;H132,'C30规则'!$H$5:$H$9,"&gt;="&amp;H132,'C30规则'!$I$5:$I$9,"&lt;="&amp;I132,'C30规则'!$J$5:$J$9,"&gt;="&amp;I132,'C30规则'!$K$5:$K$9,"&lt;="&amp;J132,'C30规则'!$L$5:$L$9,"&gt;="&amp;J132)=1,"通过","检查")</x:f>
        <x:v>通过</x:v>
      </x:c>
      <x:c r="O132" s="29" t="str">
        <x:v>RULE_DERIVED</x:v>
      </x:c>
    </x:row>
    <x:row r="133">
      <x:c r="A133" s="29" t="str">
        <x:v>C30-20260810-009</x:v>
      </x:c>
      <x:c r="B133" s="32" t="n">
        <x:v>46244.603472222225</x:v>
      </x:c>
      <x:c r="C133" s="29" t="str">
        <x:v>C30</x:v>
      </x:c>
      <x:c r="D133" s="29" t="str">
        <x:v>DRY_MILD</x:v>
      </x:c>
      <x:c r="E133" s="35" t="n">
        <x:v>62.9</x:v>
      </x:c>
      <x:c r="F133" s="41" t="str">
        <x:v>偏干，骨料微裸露，流动性偏弱</x:v>
      </x:c>
      <x:c r="G133" s="38" t="n">
        <x:v>-24</x:v>
      </x:c>
      <x:c r="H133" s="38" t="n">
        <x:v>156</x:v>
      </x:c>
      <x:c r="I133" s="38" t="n">
        <x:v>517</x:v>
      </x:c>
      <x:c r="J133" s="35" t="n">
        <x:v>4.9</x:v>
      </x:c>
      <x:c r="K133" s="29" t="str">
        <x:v>轻微异常</x:v>
      </x:c>
      <x:c r="L133" s="41" t="str">
        <x:v>优先增加聚羧酸减水剂掺量0.1%，搅拌30s后复测，达标后出料。</x:v>
      </x:c>
      <x:c r="M133" s="29" t="str">
        <x:v>是</x:v>
      </x:c>
      <x:c r="N133" s="29" t="str">
        <x:f>IF(COUNTIFS('C30规则'!$A$5:$A$9,D133,'C30规则'!$C$5:$C$9,"&lt;="&amp;E133,'C30规则'!$D$5:$D$9,"&gt;="&amp;E133,'C30规则'!$E$5:$E$9,"&lt;="&amp;G133,'C30规则'!$F$5:$F$9,"&gt;="&amp;G133,'C30规则'!$G$5:$G$9,"&lt;="&amp;H133,'C30规则'!$H$5:$H$9,"&gt;="&amp;H133,'C30规则'!$I$5:$I$9,"&lt;="&amp;I133,'C30规则'!$J$5:$J$9,"&gt;="&amp;I133,'C30规则'!$K$5:$K$9,"&lt;="&amp;J133,'C30规则'!$L$5:$L$9,"&gt;="&amp;J133)=1,"通过","检查")</x:f>
        <x:v>通过</x:v>
      </x:c>
      <x:c r="O133" s="29" t="str">
        <x:v>RULE_DERIVED</x:v>
      </x:c>
    </x:row>
    <x:row r="134">
      <x:c r="A134" s="29" t="str">
        <x:v>C30-20260810-010</x:v>
      </x:c>
      <x:c r="B134" s="32" t="n">
        <x:v>46244.63680555556</x:v>
      </x:c>
      <x:c r="C134" s="29" t="str">
        <x:v>C30</x:v>
      </x:c>
      <x:c r="D134" s="29" t="str">
        <x:v>NORMAL</x:v>
      </x:c>
      <x:c r="E134" s="35" t="n">
        <x:v>59.7</x:v>
      </x:c>
      <x:c r="F134" s="41" t="str">
        <x:v>稠度适中，包裹性好，不泌水，不结块，泵送顺畅</x:v>
      </x:c>
      <x:c r="G134" s="38" t="n">
        <x:v>-16</x:v>
      </x:c>
      <x:c r="H134" s="38" t="n">
        <x:v>164</x:v>
      </x:c>
      <x:c r="I134" s="38" t="n">
        <x:v>533</x:v>
      </x:c>
      <x:c r="J134" s="35" t="n">
        <x:v>4.3</x:v>
      </x:c>
      <x:c r="K134" s="29" t="str">
        <x:v>合格</x:v>
      </x:c>
      <x:c r="L134" s="41" t="str">
        <x:v>终止搅拌，直接出料；同步记录台账，留存实测参数备查。</x:v>
      </x:c>
      <x:c r="M134" s="29" t="str">
        <x:v>否</x:v>
      </x:c>
      <x:c r="N134" s="29" t="str">
        <x:f>IF(COUNTIFS('C30规则'!$A$5:$A$9,D134,'C30规则'!$C$5:$C$9,"&lt;="&amp;E134,'C30规则'!$D$5:$D$9,"&gt;="&amp;E134,'C30规则'!$E$5:$E$9,"&lt;="&amp;G134,'C30规则'!$F$5:$F$9,"&gt;="&amp;G134,'C30规则'!$G$5:$G$9,"&lt;="&amp;H134,'C30规则'!$H$5:$H$9,"&gt;="&amp;H134,'C30规则'!$I$5:$I$9,"&lt;="&amp;I134,'C30规则'!$J$5:$J$9,"&gt;="&amp;I134,'C30规则'!$K$5:$K$9,"&lt;="&amp;J134,'C30规则'!$L$5:$L$9,"&gt;="&amp;J134)=1,"通过","检查")</x:f>
        <x:v>通过</x:v>
      </x:c>
      <x:c r="O134" s="29" t="str">
        <x:v>RULE_DERIVED</x:v>
      </x:c>
    </x:row>
    <x:row r="135">
      <x:c r="A135" s="29" t="str">
        <x:v>C30-20260811-001</x:v>
      </x:c>
      <x:c r="B135" s="32" t="n">
        <x:v>46245.33611111111</x:v>
      </x:c>
      <x:c r="C135" s="29" t="str">
        <x:v>C30</x:v>
      </x:c>
      <x:c r="D135" s="29" t="str">
        <x:v>NORMAL</x:v>
      </x:c>
      <x:c r="E135" s="35" t="n">
        <x:v>58.8</x:v>
      </x:c>
      <x:c r="F135" s="41" t="str">
        <x:v>稠度适中，包裹性好，不泌水，不结块，泵送顺畅</x:v>
      </x:c>
      <x:c r="G135" s="38" t="n">
        <x:v>-12</x:v>
      </x:c>
      <x:c r="H135" s="38" t="n">
        <x:v>168</x:v>
      </x:c>
      <x:c r="I135" s="38" t="n">
        <x:v>534</x:v>
      </x:c>
      <x:c r="J135" s="35" t="n">
        <x:v>3.9</x:v>
      </x:c>
      <x:c r="K135" s="29" t="str">
        <x:v>合格</x:v>
      </x:c>
      <x:c r="L135" s="41" t="str">
        <x:v>终止搅拌，直接出料；同步记录台账，留存实测参数备查。</x:v>
      </x:c>
      <x:c r="M135" s="29" t="str">
        <x:v>否</x:v>
      </x:c>
      <x:c r="N135" s="29" t="str">
        <x:f>IF(COUNTIFS('C30规则'!$A$5:$A$9,D135,'C30规则'!$C$5:$C$9,"&lt;="&amp;E135,'C30规则'!$D$5:$D$9,"&gt;="&amp;E135,'C30规则'!$E$5:$E$9,"&lt;="&amp;G135,'C30规则'!$F$5:$F$9,"&gt;="&amp;G135,'C30规则'!$G$5:$G$9,"&lt;="&amp;H135,'C30规则'!$H$5:$H$9,"&gt;="&amp;H135,'C30规则'!$I$5:$I$9,"&lt;="&amp;I135,'C30规则'!$J$5:$J$9,"&gt;="&amp;I135,'C30规则'!$K$5:$K$9,"&lt;="&amp;J135,'C30规则'!$L$5:$L$9,"&gt;="&amp;J135)=1,"通过","检查")</x:f>
        <x:v>通过</x:v>
      </x:c>
      <x:c r="O135" s="29" t="str">
        <x:v>RULE_DERIVED</x:v>
      </x:c>
    </x:row>
    <x:row r="136">
      <x:c r="A136" s="29" t="str">
        <x:v>C30-20260811-002</x:v>
      </x:c>
      <x:c r="B136" s="32" t="n">
        <x:v>46245.370833333334</x:v>
      </x:c>
      <x:c r="C136" s="29" t="str">
        <x:v>C30</x:v>
      </x:c>
      <x:c r="D136" s="29" t="str">
        <x:v>NORMAL</x:v>
      </x:c>
      <x:c r="E136" s="35" t="n">
        <x:v>55.9</x:v>
      </x:c>
      <x:c r="F136" s="41" t="str">
        <x:v>稠度适中，包裹性好，不泌水，不结块，泵送顺畅</x:v>
      </x:c>
      <x:c r="G136" s="38" t="n">
        <x:v>11</x:v>
      </x:c>
      <x:c r="H136" s="38" t="n">
        <x:v>191</x:v>
      </x:c>
      <x:c r="I136" s="38" t="n">
        <x:v>561</x:v>
      </x:c>
      <x:c r="J136" s="35" t="n">
        <x:v>3</x:v>
      </x:c>
      <x:c r="K136" s="29" t="str">
        <x:v>合格</x:v>
      </x:c>
      <x:c r="L136" s="41" t="str">
        <x:v>终止搅拌，直接出料；同步记录台账，留存实测参数备查。</x:v>
      </x:c>
      <x:c r="M136" s="29" t="str">
        <x:v>否</x:v>
      </x:c>
      <x:c r="N136" s="29" t="str">
        <x:f>IF(COUNTIFS('C30规则'!$A$5:$A$9,D136,'C30规则'!$C$5:$C$9,"&lt;="&amp;E136,'C30规则'!$D$5:$D$9,"&gt;="&amp;E136,'C30规则'!$E$5:$E$9,"&lt;="&amp;G136,'C30规则'!$F$5:$F$9,"&gt;="&amp;G136,'C30规则'!$G$5:$G$9,"&lt;="&amp;H136,'C30规则'!$H$5:$H$9,"&gt;="&amp;H136,'C30规则'!$I$5:$I$9,"&lt;="&amp;I136,'C30规则'!$J$5:$J$9,"&gt;="&amp;I136,'C30规则'!$K$5:$K$9,"&lt;="&amp;J136,'C30规则'!$L$5:$L$9,"&gt;="&amp;J136)=1,"通过","检查")</x:f>
        <x:v>通过</x:v>
      </x:c>
      <x:c r="O136" s="29" t="str">
        <x:v>RULE_DERIVED</x:v>
      </x:c>
    </x:row>
    <x:row r="137">
      <x:c r="A137" s="29" t="str">
        <x:v>C30-20260811-003</x:v>
      </x:c>
      <x:c r="B137" s="32" t="n">
        <x:v>46245.4</x:v>
      </x:c>
      <x:c r="C137" s="29" t="str">
        <x:v>C30</x:v>
      </x:c>
      <x:c r="D137" s="29" t="str">
        <x:v>NORMAL</x:v>
      </x:c>
      <x:c r="E137" s="35" t="n">
        <x:v>57.7</x:v>
      </x:c>
      <x:c r="F137" s="41" t="str">
        <x:v>稠度适中，包裹性好，不泌水，不结块，泵送顺畅</x:v>
      </x:c>
      <x:c r="G137" s="38" t="n">
        <x:v>-2</x:v>
      </x:c>
      <x:c r="H137" s="38" t="n">
        <x:v>178</x:v>
      </x:c>
      <x:c r="I137" s="38" t="n">
        <x:v>552</x:v>
      </x:c>
      <x:c r="J137" s="35" t="n">
        <x:v>3.7</x:v>
      </x:c>
      <x:c r="K137" s="29" t="str">
        <x:v>合格</x:v>
      </x:c>
      <x:c r="L137" s="41" t="str">
        <x:v>终止搅拌，直接出料；同步记录台账，留存实测参数备查。</x:v>
      </x:c>
      <x:c r="M137" s="29" t="str">
        <x:v>否</x:v>
      </x:c>
      <x:c r="N137" s="29" t="str">
        <x:f>IF(COUNTIFS('C30规则'!$A$5:$A$9,D137,'C30规则'!$C$5:$C$9,"&lt;="&amp;E137,'C30规则'!$D$5:$D$9,"&gt;="&amp;E137,'C30规则'!$E$5:$E$9,"&lt;="&amp;G137,'C30规则'!$F$5:$F$9,"&gt;="&amp;G137,'C30规则'!$G$5:$G$9,"&lt;="&amp;H137,'C30规则'!$H$5:$H$9,"&gt;="&amp;H137,'C30规则'!$I$5:$I$9,"&lt;="&amp;I137,'C30规则'!$J$5:$J$9,"&gt;="&amp;I137,'C30规则'!$K$5:$K$9,"&lt;="&amp;J137,'C30规则'!$L$5:$L$9,"&gt;="&amp;J137)=1,"通过","检查")</x:f>
        <x:v>通过</x:v>
      </x:c>
      <x:c r="O137" s="29" t="str">
        <x:v>RULE_DERIVED</x:v>
      </x:c>
    </x:row>
    <x:row r="138">
      <x:c r="A138" s="29" t="str">
        <x:v>C30-20260811-004</x:v>
      </x:c>
      <x:c r="B138" s="32" t="n">
        <x:v>46245.43472222222</x:v>
      </x:c>
      <x:c r="C138" s="29" t="str">
        <x:v>C30</x:v>
      </x:c>
      <x:c r="D138" s="29" t="str">
        <x:v>DRY_MILD</x:v>
      </x:c>
      <x:c r="E138" s="35" t="n">
        <x:v>68.7</x:v>
      </x:c>
      <x:c r="F138" s="41" t="str">
        <x:v>偏干，骨料微裸露，流动性偏弱</x:v>
      </x:c>
      <x:c r="G138" s="38" t="n">
        <x:v>-29</x:v>
      </x:c>
      <x:c r="H138" s="38" t="n">
        <x:v>151</x:v>
      </x:c>
      <x:c r="I138" s="38" t="n">
        <x:v>500</x:v>
      </x:c>
      <x:c r="J138" s="35" t="n">
        <x:v>5.2</x:v>
      </x:c>
      <x:c r="K138" s="29" t="str">
        <x:v>轻微异常</x:v>
      </x:c>
      <x:c r="L138" s="41" t="str">
        <x:v>优先增加聚羧酸减水剂掺量0.1%，搅拌30s后复测，达标后出料。</x:v>
      </x:c>
      <x:c r="M138" s="29" t="str">
        <x:v>是</x:v>
      </x:c>
      <x:c r="N138" s="29" t="str">
        <x:f>IF(COUNTIFS('C30规则'!$A$5:$A$9,D138,'C30规则'!$C$5:$C$9,"&lt;="&amp;E138,'C30规则'!$D$5:$D$9,"&gt;="&amp;E138,'C30规则'!$E$5:$E$9,"&lt;="&amp;G138,'C30规则'!$F$5:$F$9,"&gt;="&amp;G138,'C30规则'!$G$5:$G$9,"&lt;="&amp;H138,'C30规则'!$H$5:$H$9,"&gt;="&amp;H138,'C30规则'!$I$5:$I$9,"&lt;="&amp;I138,'C30规则'!$J$5:$J$9,"&gt;="&amp;I138,'C30规则'!$K$5:$K$9,"&lt;="&amp;J138,'C30规则'!$L$5:$L$9,"&gt;="&amp;J138)=1,"通过","检查")</x:f>
        <x:v>通过</x:v>
      </x:c>
      <x:c r="O138" s="29" t="str">
        <x:v>RULE_DERIVED</x:v>
      </x:c>
    </x:row>
    <x:row r="139">
      <x:c r="A139" s="29" t="str">
        <x:v>C30-20260811-005</x:v>
      </x:c>
      <x:c r="B139" s="32" t="n">
        <x:v>46245.46666666667</x:v>
      </x:c>
      <x:c r="C139" s="29" t="str">
        <x:v>C30</x:v>
      </x:c>
      <x:c r="D139" s="29" t="str">
        <x:v>DRY_SEVERE</x:v>
      </x:c>
      <x:c r="E139" s="35" t="n">
        <x:v>70.5</x:v>
      </x:c>
      <x:c r="F139" s="41" t="str">
        <x:v>干涩，结块，挂壁，流动性极差，无法泵送</x:v>
      </x:c>
      <x:c r="G139" s="38" t="n">
        <x:v>-44</x:v>
      </x:c>
      <x:c r="H139" s="38" t="n">
        <x:v>136</x:v>
      </x:c>
      <x:c r="I139" s="38" t="n">
        <x:v>490</x:v>
      </x:c>
      <x:c r="J139" s="35" t="n">
        <x:v>5.6</x:v>
      </x:c>
      <x:c r="K139" s="29" t="str">
        <x:v>不合格</x:v>
      </x:c>
      <x:c r="L139" s="41" t="str">
        <x:v>优先补加0.2%减水剂和5kg清水，搅拌60s后复测。</x:v>
      </x:c>
      <x:c r="M139" s="29" t="str">
        <x:v>是</x:v>
      </x:c>
      <x:c r="N139" s="29" t="str">
        <x:f>IF(COUNTIFS('C30规则'!$A$5:$A$9,D139,'C30规则'!$C$5:$C$9,"&lt;="&amp;E139,'C30规则'!$D$5:$D$9,"&gt;="&amp;E139,'C30规则'!$E$5:$E$9,"&lt;="&amp;G139,'C30规则'!$F$5:$F$9,"&gt;="&amp;G139,'C30规则'!$G$5:$G$9,"&lt;="&amp;H139,'C30规则'!$H$5:$H$9,"&gt;="&amp;H139,'C30规则'!$I$5:$I$9,"&lt;="&amp;I139,'C30规则'!$J$5:$J$9,"&gt;="&amp;I139,'C30规则'!$K$5:$K$9,"&lt;="&amp;J139,'C30规则'!$L$5:$L$9,"&gt;="&amp;J139)=1,"通过","检查")</x:f>
        <x:v>通过</x:v>
      </x:c>
      <x:c r="O139" s="29" t="str">
        <x:v>RULE_DERIVED</x:v>
      </x:c>
    </x:row>
    <x:row r="140">
      <x:c r="A140" s="29" t="str">
        <x:v>C30-20260811-006</x:v>
      </x:c>
      <x:c r="B140" s="32" t="n">
        <x:v>46245.5</x:v>
      </x:c>
      <x:c r="C140" s="29" t="str">
        <x:v>C30</x:v>
      </x:c>
      <x:c r="D140" s="29" t="str">
        <x:v>DRY_MILD</x:v>
      </x:c>
      <x:c r="E140" s="35" t="n">
        <x:v>66.6</x:v>
      </x:c>
      <x:c r="F140" s="41" t="str">
        <x:v>偏干，骨料微裸露，流动性偏弱</x:v>
      </x:c>
      <x:c r="G140" s="38" t="n">
        <x:v>-29</x:v>
      </x:c>
      <x:c r="H140" s="38" t="n">
        <x:v>151</x:v>
      </x:c>
      <x:c r="I140" s="38" t="n">
        <x:v>509</x:v>
      </x:c>
      <x:c r="J140" s="35" t="n">
        <x:v>5.3</x:v>
      </x:c>
      <x:c r="K140" s="29" t="str">
        <x:v>轻微异常</x:v>
      </x:c>
      <x:c r="L140" s="41" t="str">
        <x:v>优先增加聚羧酸减水剂掺量0.1%，搅拌30s后复测，达标后出料。</x:v>
      </x:c>
      <x:c r="M140" s="29" t="str">
        <x:v>是</x:v>
      </x:c>
      <x:c r="N140" s="29" t="str">
        <x:f>IF(COUNTIFS('C30规则'!$A$5:$A$9,D140,'C30规则'!$C$5:$C$9,"&lt;="&amp;E140,'C30规则'!$D$5:$D$9,"&gt;="&amp;E140,'C30规则'!$E$5:$E$9,"&lt;="&amp;G140,'C30规则'!$F$5:$F$9,"&gt;="&amp;G140,'C30规则'!$G$5:$G$9,"&lt;="&amp;H140,'C30规则'!$H$5:$H$9,"&gt;="&amp;H140,'C30规则'!$I$5:$I$9,"&lt;="&amp;I140,'C30规则'!$J$5:$J$9,"&gt;="&amp;I140,'C30规则'!$K$5:$K$9,"&lt;="&amp;J140,'C30规则'!$L$5:$L$9,"&gt;="&amp;J140)=1,"通过","检查")</x:f>
        <x:v>通过</x:v>
      </x:c>
      <x:c r="O140" s="29" t="str">
        <x:v>RULE_DERIVED</x:v>
      </x:c>
    </x:row>
    <x:row r="141">
      <x:c r="A141" s="29" t="str">
        <x:v>C30-20260811-007</x:v>
      </x:c>
      <x:c r="B141" s="32" t="n">
        <x:v>46245.53472222222</x:v>
      </x:c>
      <x:c r="C141" s="29" t="str">
        <x:v>C30</x:v>
      </x:c>
      <x:c r="D141" s="29" t="str">
        <x:v>NORMAL</x:v>
      </x:c>
      <x:c r="E141" s="35" t="n">
        <x:v>58.2</x:v>
      </x:c>
      <x:c r="F141" s="41" t="str">
        <x:v>稠度适中，包裹性好，不泌水，不结块，泵送顺畅</x:v>
      </x:c>
      <x:c r="G141" s="38" t="n">
        <x:v>-3</x:v>
      </x:c>
      <x:c r="H141" s="38" t="n">
        <x:v>177</x:v>
      </x:c>
      <x:c r="I141" s="38" t="n">
        <x:v>548</x:v>
      </x:c>
      <x:c r="J141" s="35" t="n">
        <x:v>3.7</x:v>
      </x:c>
      <x:c r="K141" s="29" t="str">
        <x:v>合格</x:v>
      </x:c>
      <x:c r="L141" s="41" t="str">
        <x:v>终止搅拌，直接出料；同步记录台账，留存实测参数备查。</x:v>
      </x:c>
      <x:c r="M141" s="29" t="str">
        <x:v>否</x:v>
      </x:c>
      <x:c r="N141" s="29" t="str">
        <x:f>IF(COUNTIFS('C30规则'!$A$5:$A$9,D141,'C30规则'!$C$5:$C$9,"&lt;="&amp;E141,'C30规则'!$D$5:$D$9,"&gt;="&amp;E141,'C30规则'!$E$5:$E$9,"&lt;="&amp;G141,'C30规则'!$F$5:$F$9,"&gt;="&amp;G141,'C30规则'!$G$5:$G$9,"&lt;="&amp;H141,'C30规则'!$H$5:$H$9,"&gt;="&amp;H141,'C30规则'!$I$5:$I$9,"&lt;="&amp;I141,'C30规则'!$J$5:$J$9,"&gt;="&amp;I141,'C30规则'!$K$5:$K$9,"&lt;="&amp;J141,'C30规则'!$L$5:$L$9,"&gt;="&amp;J141)=1,"通过","检查")</x:f>
        <x:v>通过</x:v>
      </x:c>
      <x:c r="O141" s="29" t="str">
        <x:v>RULE_DERIVED</x:v>
      </x:c>
    </x:row>
    <x:row r="142">
      <x:c r="A142" s="29" t="str">
        <x:v>C30-20260811-008</x:v>
      </x:c>
      <x:c r="B142" s="32" t="n">
        <x:v>46245.56875</x:v>
      </x:c>
      <x:c r="C142" s="29" t="str">
        <x:v>C30</x:v>
      </x:c>
      <x:c r="D142" s="29" t="str">
        <x:v>NORMAL</x:v>
      </x:c>
      <x:c r="E142" s="35" t="n">
        <x:v>55.4</x:v>
      </x:c>
      <x:c r="F142" s="41" t="str">
        <x:v>稠度适中，包裹性好，不泌水，不结块，泵送顺畅</x:v>
      </x:c>
      <x:c r="G142" s="38" t="n">
        <x:v>19</x:v>
      </x:c>
      <x:c r="H142" s="38" t="n">
        <x:v>199</x:v>
      </x:c>
      <x:c r="I142" s="38" t="n">
        <x:v>566</x:v>
      </x:c>
      <x:c r="J142" s="35" t="n">
        <x:v>2.6</x:v>
      </x:c>
      <x:c r="K142" s="29" t="str">
        <x:v>合格</x:v>
      </x:c>
      <x:c r="L142" s="41" t="str">
        <x:v>终止搅拌，直接出料；同步记录台账，留存实测参数备查。</x:v>
      </x:c>
      <x:c r="M142" s="29" t="str">
        <x:v>否</x:v>
      </x:c>
      <x:c r="N142" s="29" t="str">
        <x:f>IF(COUNTIFS('C30规则'!$A$5:$A$9,D142,'C30规则'!$C$5:$C$9,"&lt;="&amp;E142,'C30规则'!$D$5:$D$9,"&gt;="&amp;E142,'C30规则'!$E$5:$E$9,"&lt;="&amp;G142,'C30规则'!$F$5:$F$9,"&gt;="&amp;G142,'C30规则'!$G$5:$G$9,"&lt;="&amp;H142,'C30规则'!$H$5:$H$9,"&gt;="&amp;H142,'C30规则'!$I$5:$I$9,"&lt;="&amp;I142,'C30规则'!$J$5:$J$9,"&gt;="&amp;I142,'C30规则'!$K$5:$K$9,"&lt;="&amp;J142,'C30规则'!$L$5:$L$9,"&gt;="&amp;J142)=1,"通过","检查")</x:f>
        <x:v>通过</x:v>
      </x:c>
      <x:c r="O142" s="29" t="str">
        <x:v>RULE_DERIVED</x:v>
      </x:c>
    </x:row>
    <x:row r="143">
      <x:c r="A143" s="29" t="str">
        <x:v>C30-20260811-009</x:v>
      </x:c>
      <x:c r="B143" s="32" t="n">
        <x:v>46245.60208333333</x:v>
      </x:c>
      <x:c r="C143" s="29" t="str">
        <x:v>C30</x:v>
      </x:c>
      <x:c r="D143" s="29" t="str">
        <x:v>DRY_MILD</x:v>
      </x:c>
      <x:c r="E143" s="35" t="n">
        <x:v>62.3</x:v>
      </x:c>
      <x:c r="F143" s="41" t="str">
        <x:v>偏干，骨料微裸露，流动性偏弱</x:v>
      </x:c>
      <x:c r="G143" s="38" t="n">
        <x:v>-24</x:v>
      </x:c>
      <x:c r="H143" s="38" t="n">
        <x:v>156</x:v>
      </x:c>
      <x:c r="I143" s="38" t="n">
        <x:v>509</x:v>
      </x:c>
      <x:c r="J143" s="35" t="n">
        <x:v>4.7</x:v>
      </x:c>
      <x:c r="K143" s="29" t="str">
        <x:v>轻微异常</x:v>
      </x:c>
      <x:c r="L143" s="41" t="str">
        <x:v>优先增加聚羧酸减水剂掺量0.1%，搅拌30s后复测，达标后出料。</x:v>
      </x:c>
      <x:c r="M143" s="29" t="str">
        <x:v>是</x:v>
      </x:c>
      <x:c r="N143" s="29" t="str">
        <x:f>IF(COUNTIFS('C30规则'!$A$5:$A$9,D143,'C30规则'!$C$5:$C$9,"&lt;="&amp;E143,'C30规则'!$D$5:$D$9,"&gt;="&amp;E143,'C30规则'!$E$5:$E$9,"&lt;="&amp;G143,'C30规则'!$F$5:$F$9,"&gt;="&amp;G143,'C30规则'!$G$5:$G$9,"&lt;="&amp;H143,'C30规则'!$H$5:$H$9,"&gt;="&amp;H143,'C30规则'!$I$5:$I$9,"&lt;="&amp;I143,'C30规则'!$J$5:$J$9,"&gt;="&amp;I143,'C30规则'!$K$5:$K$9,"&lt;="&amp;J143,'C30规则'!$L$5:$L$9,"&gt;="&amp;J143)=1,"通过","检查")</x:f>
        <x:v>通过</x:v>
      </x:c>
      <x:c r="O143" s="29" t="str">
        <x:v>RULE_DERIVED</x:v>
      </x:c>
    </x:row>
    <x:row r="144">
      <x:c r="A144" s="29" t="str">
        <x:v>C30-20260811-010</x:v>
      </x:c>
      <x:c r="B144" s="32" t="n">
        <x:v>46245.63611111111</x:v>
      </x:c>
      <x:c r="C144" s="29" t="str">
        <x:v>C30</x:v>
      </x:c>
      <x:c r="D144" s="29" t="str">
        <x:v>DRY_MILD</x:v>
      </x:c>
      <x:c r="E144" s="35" t="n">
        <x:v>68.7</x:v>
      </x:c>
      <x:c r="F144" s="41" t="str">
        <x:v>偏干，骨料微裸露，流动性偏弱</x:v>
      </x:c>
      <x:c r="G144" s="38" t="n">
        <x:v>-30</x:v>
      </x:c>
      <x:c r="H144" s="38" t="n">
        <x:v>150</x:v>
      </x:c>
      <x:c r="I144" s="38" t="n">
        <x:v>504</x:v>
      </x:c>
      <x:c r="J144" s="35" t="n">
        <x:v>5.3</x:v>
      </x:c>
      <x:c r="K144" s="29" t="str">
        <x:v>轻微异常</x:v>
      </x:c>
      <x:c r="L144" s="41" t="str">
        <x:v>优先增加聚羧酸减水剂掺量0.1%，搅拌30s后复测，达标后出料。</x:v>
      </x:c>
      <x:c r="M144" s="29" t="str">
        <x:v>是</x:v>
      </x:c>
      <x:c r="N144" s="29" t="str">
        <x:f>IF(COUNTIFS('C30规则'!$A$5:$A$9,D144,'C30规则'!$C$5:$C$9,"&lt;="&amp;E144,'C30规则'!$D$5:$D$9,"&gt;="&amp;E144,'C30规则'!$E$5:$E$9,"&lt;="&amp;G144,'C30规则'!$F$5:$F$9,"&gt;="&amp;G144,'C30规则'!$G$5:$G$9,"&lt;="&amp;H144,'C30规则'!$H$5:$H$9,"&gt;="&amp;H144,'C30规则'!$I$5:$I$9,"&lt;="&amp;I144,'C30规则'!$J$5:$J$9,"&gt;="&amp;I144,'C30规则'!$K$5:$K$9,"&lt;="&amp;J144,'C30规则'!$L$5:$L$9,"&gt;="&amp;J144)=1,"通过","检查")</x:f>
        <x:v>通过</x:v>
      </x:c>
      <x:c r="O144" s="29" t="str">
        <x:v>RULE_DERIVED</x:v>
      </x:c>
    </x:row>
    <x:row r="145">
      <x:c r="A145" s="29" t="str">
        <x:v>C30-20260812-001</x:v>
      </x:c>
      <x:c r="B145" s="32" t="n">
        <x:v>46246.33611111111</x:v>
      </x:c>
      <x:c r="C145" s="29" t="str">
        <x:v>C30</x:v>
      </x:c>
      <x:c r="D145" s="29" t="str">
        <x:v>WET_MILD</x:v>
      </x:c>
      <x:c r="E145" s="35" t="n">
        <x:v>49.4</x:v>
      </x:c>
      <x:c r="F145" s="41" t="str">
        <x:v>偏稀，流动性偏大，无泌水</x:v>
      </x:c>
      <x:c r="G145" s="38" t="n">
        <x:v>27</x:v>
      </x:c>
      <x:c r="H145" s="38" t="n">
        <x:v>207</x:v>
      </x:c>
      <x:c r="I145" s="38" t="n">
        <x:v>590</x:v>
      </x:c>
      <x:c r="J145" s="35" t="n">
        <x:v>2</x:v>
      </x:c>
      <x:c r="K145" s="29" t="str">
        <x:v>轻微异常</x:v>
      </x:c>
      <x:c r="L145" s="41" t="str">
        <x:v>加入5–8kg/m³干砂，搅拌30s后复测，达标后正常出料并观察泵送。</x:v>
      </x:c>
      <x:c r="M145" s="29" t="str">
        <x:v>是</x:v>
      </x:c>
      <x:c r="N145" s="29" t="str">
        <x:f>IF(COUNTIFS('C30规则'!$A$5:$A$9,D145,'C30规则'!$C$5:$C$9,"&lt;="&amp;E145,'C30规则'!$D$5:$D$9,"&gt;="&amp;E145,'C30规则'!$E$5:$E$9,"&lt;="&amp;G145,'C30规则'!$F$5:$F$9,"&gt;="&amp;G145,'C30规则'!$G$5:$G$9,"&lt;="&amp;H145,'C30规则'!$H$5:$H$9,"&gt;="&amp;H145,'C30规则'!$I$5:$I$9,"&lt;="&amp;I145,'C30规则'!$J$5:$J$9,"&gt;="&amp;I145,'C30规则'!$K$5:$K$9,"&lt;="&amp;J145,'C30规则'!$L$5:$L$9,"&gt;="&amp;J145)=1,"通过","检查")</x:f>
        <x:v>通过</x:v>
      </x:c>
      <x:c r="O145" s="29" t="str">
        <x:v>RULE_DERIVED</x:v>
      </x:c>
    </x:row>
    <x:row r="146">
      <x:c r="A146" s="29" t="str">
        <x:v>C30-20260812-002</x:v>
      </x:c>
      <x:c r="B146" s="32" t="n">
        <x:v>46246.37152777778</x:v>
      </x:c>
      <x:c r="C146" s="29" t="str">
        <x:v>C30</x:v>
      </x:c>
      <x:c r="D146" s="29" t="str">
        <x:v>NORMAL</x:v>
      </x:c>
      <x:c r="E146" s="35" t="n">
        <x:v>57.4</x:v>
      </x:c>
      <x:c r="F146" s="41" t="str">
        <x:v>稠度适中，包裹性好，不泌水，不结块，泵送顺畅</x:v>
      </x:c>
      <x:c r="G146" s="38" t="n">
        <x:v>1</x:v>
      </x:c>
      <x:c r="H146" s="38" t="n">
        <x:v>181</x:v>
      </x:c>
      <x:c r="I146" s="38" t="n">
        <x:v>551</x:v>
      </x:c>
      <x:c r="J146" s="35" t="n">
        <x:v>3.3</x:v>
      </x:c>
      <x:c r="K146" s="29" t="str">
        <x:v>合格</x:v>
      </x:c>
      <x:c r="L146" s="41" t="str">
        <x:v>终止搅拌，直接出料；同步记录台账，留存实测参数备查。</x:v>
      </x:c>
      <x:c r="M146" s="29" t="str">
        <x:v>否</x:v>
      </x:c>
      <x:c r="N146" s="29" t="str">
        <x:f>IF(COUNTIFS('C30规则'!$A$5:$A$9,D146,'C30规则'!$C$5:$C$9,"&lt;="&amp;E146,'C30规则'!$D$5:$D$9,"&gt;="&amp;E146,'C30规则'!$E$5:$E$9,"&lt;="&amp;G146,'C30规则'!$F$5:$F$9,"&gt;="&amp;G146,'C30规则'!$G$5:$G$9,"&lt;="&amp;H146,'C30规则'!$H$5:$H$9,"&gt;="&amp;H146,'C30规则'!$I$5:$I$9,"&lt;="&amp;I146,'C30规则'!$J$5:$J$9,"&gt;="&amp;I146,'C30规则'!$K$5:$K$9,"&lt;="&amp;J146,'C30规则'!$L$5:$L$9,"&gt;="&amp;J146)=1,"通过","检查")</x:f>
        <x:v>通过</x:v>
      </x:c>
      <x:c r="O146" s="29" t="str">
        <x:v>RULE_DERIVED</x:v>
      </x:c>
    </x:row>
    <x:row r="147">
      <x:c r="A147" s="29" t="str">
        <x:v>C30-20260812-003</x:v>
      </x:c>
      <x:c r="B147" s="32" t="n">
        <x:v>46246.40416666667</x:v>
      </x:c>
      <x:c r="C147" s="29" t="str">
        <x:v>C30</x:v>
      </x:c>
      <x:c r="D147" s="29" t="str">
        <x:v>DRY_MILD</x:v>
      </x:c>
      <x:c r="E147" s="35" t="n">
        <x:v>64.6</x:v>
      </x:c>
      <x:c r="F147" s="41" t="str">
        <x:v>偏干，骨料微裸露，流动性偏弱</x:v>
      </x:c>
      <x:c r="G147" s="38" t="n">
        <x:v>-21</x:v>
      </x:c>
      <x:c r="H147" s="38" t="n">
        <x:v>159</x:v>
      </x:c>
      <x:c r="I147" s="38" t="n">
        <x:v>509</x:v>
      </x:c>
      <x:c r="J147" s="35" t="n">
        <x:v>4.9</x:v>
      </x:c>
      <x:c r="K147" s="29" t="str">
        <x:v>轻微异常</x:v>
      </x:c>
      <x:c r="L147" s="41" t="str">
        <x:v>优先增加聚羧酸减水剂掺量0.1%，搅拌30s后复测，达标后出料。</x:v>
      </x:c>
      <x:c r="M147" s="29" t="str">
        <x:v>是</x:v>
      </x:c>
      <x:c r="N147" s="29" t="str">
        <x:f>IF(COUNTIFS('C30规则'!$A$5:$A$9,D147,'C30规则'!$C$5:$C$9,"&lt;="&amp;E147,'C30规则'!$D$5:$D$9,"&gt;="&amp;E147,'C30规则'!$E$5:$E$9,"&lt;="&amp;G147,'C30规则'!$F$5:$F$9,"&gt;="&amp;G147,'C30规则'!$G$5:$G$9,"&lt;="&amp;H147,'C30规则'!$H$5:$H$9,"&gt;="&amp;H147,'C30规则'!$I$5:$I$9,"&lt;="&amp;I147,'C30规则'!$J$5:$J$9,"&gt;="&amp;I147,'C30规则'!$K$5:$K$9,"&lt;="&amp;J147,'C30规则'!$L$5:$L$9,"&gt;="&amp;J147)=1,"通过","检查")</x:f>
        <x:v>通过</x:v>
      </x:c>
      <x:c r="O147" s="29" t="str">
        <x:v>RULE_DERIVED</x:v>
      </x:c>
    </x:row>
    <x:row r="148">
      <x:c r="A148" s="29" t="str">
        <x:v>C30-20260812-004</x:v>
      </x:c>
      <x:c r="B148" s="32" t="n">
        <x:v>46246.4375</x:v>
      </x:c>
      <x:c r="C148" s="29" t="str">
        <x:v>C30</x:v>
      </x:c>
      <x:c r="D148" s="29" t="str">
        <x:v>NORMAL</x:v>
      </x:c>
      <x:c r="E148" s="35" t="n">
        <x:v>55.9</x:v>
      </x:c>
      <x:c r="F148" s="41" t="str">
        <x:v>稠度适中，包裹性好，不泌水，不结块，泵送顺畅</x:v>
      </x:c>
      <x:c r="G148" s="38" t="n">
        <x:v>11</x:v>
      </x:c>
      <x:c r="H148" s="38" t="n">
        <x:v>191</x:v>
      </x:c>
      <x:c r="I148" s="38" t="n">
        <x:v>568</x:v>
      </x:c>
      <x:c r="J148" s="35" t="n">
        <x:v>2.9</x:v>
      </x:c>
      <x:c r="K148" s="29" t="str">
        <x:v>合格</x:v>
      </x:c>
      <x:c r="L148" s="41" t="str">
        <x:v>终止搅拌，直接出料；同步记录台账，留存实测参数备查。</x:v>
      </x:c>
      <x:c r="M148" s="29" t="str">
        <x:v>否</x:v>
      </x:c>
      <x:c r="N148" s="29" t="str">
        <x:f>IF(COUNTIFS('C30规则'!$A$5:$A$9,D148,'C30规则'!$C$5:$C$9,"&lt;="&amp;E148,'C30规则'!$D$5:$D$9,"&gt;="&amp;E148,'C30规则'!$E$5:$E$9,"&lt;="&amp;G148,'C30规则'!$F$5:$F$9,"&gt;="&amp;G148,'C30规则'!$G$5:$G$9,"&lt;="&amp;H148,'C30规则'!$H$5:$H$9,"&gt;="&amp;H148,'C30规则'!$I$5:$I$9,"&lt;="&amp;I148,'C30规则'!$J$5:$J$9,"&gt;="&amp;I148,'C30规则'!$K$5:$K$9,"&lt;="&amp;J148,'C30规则'!$L$5:$L$9,"&gt;="&amp;J148)=1,"通过","检查")</x:f>
        <x:v>通过</x:v>
      </x:c>
      <x:c r="O148" s="29" t="str">
        <x:v>RULE_DERIVED</x:v>
      </x:c>
    </x:row>
    <x:row r="149">
      <x:c r="A149" s="29" t="str">
        <x:v>C30-20260812-005</x:v>
      </x:c>
      <x:c r="B149" s="32" t="n">
        <x:v>46246.467361111114</x:v>
      </x:c>
      <x:c r="C149" s="29" t="str">
        <x:v>C30</x:v>
      </x:c>
      <x:c r="D149" s="29" t="str">
        <x:v>NORMAL</x:v>
      </x:c>
      <x:c r="E149" s="35" t="n">
        <x:v>55.3</x:v>
      </x:c>
      <x:c r="F149" s="41" t="str">
        <x:v>稠度适中，包裹性好，不泌水，不结块，泵送顺畅</x:v>
      </x:c>
      <x:c r="G149" s="38" t="n">
        <x:v>20</x:v>
      </x:c>
      <x:c r="H149" s="38" t="n">
        <x:v>200</x:v>
      </x:c>
      <x:c r="I149" s="38" t="n">
        <x:v>567</x:v>
      </x:c>
      <x:c r="J149" s="35" t="n">
        <x:v>2.5</x:v>
      </x:c>
      <x:c r="K149" s="29" t="str">
        <x:v>合格</x:v>
      </x:c>
      <x:c r="L149" s="41" t="str">
        <x:v>终止搅拌，直接出料；同步记录台账，留存实测参数备查。</x:v>
      </x:c>
      <x:c r="M149" s="29" t="str">
        <x:v>否</x:v>
      </x:c>
      <x:c r="N149" s="29" t="str">
        <x:f>IF(COUNTIFS('C30规则'!$A$5:$A$9,D149,'C30规则'!$C$5:$C$9,"&lt;="&amp;E149,'C30规则'!$D$5:$D$9,"&gt;="&amp;E149,'C30规则'!$E$5:$E$9,"&lt;="&amp;G149,'C30规则'!$F$5:$F$9,"&gt;="&amp;G149,'C30规则'!$G$5:$G$9,"&lt;="&amp;H149,'C30规则'!$H$5:$H$9,"&gt;="&amp;H149,'C30规则'!$I$5:$I$9,"&lt;="&amp;I149,'C30规则'!$J$5:$J$9,"&gt;="&amp;I149,'C30规则'!$K$5:$K$9,"&lt;="&amp;J149,'C30规则'!$L$5:$L$9,"&gt;="&amp;J149)=1,"通过","检查")</x:f>
        <x:v>通过</x:v>
      </x:c>
      <x:c r="O149" s="29" t="str">
        <x:v>RULE_DERIVED</x:v>
      </x:c>
    </x:row>
    <x:row r="150">
      <x:c r="A150" s="29" t="str">
        <x:v>C30-20260812-006</x:v>
      </x:c>
      <x:c r="B150" s="32" t="n">
        <x:v>46246.50486111111</x:v>
      </x:c>
      <x:c r="C150" s="29" t="str">
        <x:v>C30</x:v>
      </x:c>
      <x:c r="D150" s="29" t="str">
        <x:v>DRY_SEVERE</x:v>
      </x:c>
      <x:c r="E150" s="35" t="n">
        <x:v>75.9</x:v>
      </x:c>
      <x:c r="F150" s="41" t="str">
        <x:v>干涩，结块，挂壁，流动性极差，无法泵送</x:v>
      </x:c>
      <x:c r="G150" s="38" t="n">
        <x:v>-53</x:v>
      </x:c>
      <x:c r="H150" s="38" t="n">
        <x:v>127</x:v>
      </x:c>
      <x:c r="I150" s="38" t="n">
        <x:v>471</x:v>
      </x:c>
      <x:c r="J150" s="35" t="n">
        <x:v>6.4</x:v>
      </x:c>
      <x:c r="K150" s="29" t="str">
        <x:v>不合格</x:v>
      </x:c>
      <x:c r="L150" s="41" t="str">
        <x:v>优先补加0.2%减水剂和5kg清水，搅拌60s后复测。</x:v>
      </x:c>
      <x:c r="M150" s="29" t="str">
        <x:v>是</x:v>
      </x:c>
      <x:c r="N150" s="29" t="str">
        <x:f>IF(COUNTIFS('C30规则'!$A$5:$A$9,D150,'C30规则'!$C$5:$C$9,"&lt;="&amp;E150,'C30规则'!$D$5:$D$9,"&gt;="&amp;E150,'C30规则'!$E$5:$E$9,"&lt;="&amp;G150,'C30规则'!$F$5:$F$9,"&gt;="&amp;G150,'C30规则'!$G$5:$G$9,"&lt;="&amp;H150,'C30规则'!$H$5:$H$9,"&gt;="&amp;H150,'C30规则'!$I$5:$I$9,"&lt;="&amp;I150,'C30规则'!$J$5:$J$9,"&gt;="&amp;I150,'C30规则'!$K$5:$K$9,"&lt;="&amp;J150,'C30规则'!$L$5:$L$9,"&gt;="&amp;J150)=1,"通过","检查")</x:f>
        <x:v>通过</x:v>
      </x:c>
      <x:c r="O150" s="29" t="str">
        <x:v>RULE_DERIVED</x:v>
      </x:c>
    </x:row>
    <x:row r="151">
      <x:c r="A151" s="29" t="str">
        <x:v>C30-20260812-007</x:v>
      </x:c>
      <x:c r="B151" s="32" t="n">
        <x:v>46246.5375</x:v>
      </x:c>
      <x:c r="C151" s="29" t="str">
        <x:v>C30</x:v>
      </x:c>
      <x:c r="D151" s="29" t="str">
        <x:v>NORMAL</x:v>
      </x:c>
      <x:c r="E151" s="35" t="n">
        <x:v>57.3</x:v>
      </x:c>
      <x:c r="F151" s="41" t="str">
        <x:v>稠度适中，包裹性好，不泌水，不结块，泵送顺畅</x:v>
      </x:c>
      <x:c r="G151" s="38" t="n">
        <x:v>3</x:v>
      </x:c>
      <x:c r="H151" s="38" t="n">
        <x:v>183</x:v>
      </x:c>
      <x:c r="I151" s="38" t="n">
        <x:v>548</x:v>
      </x:c>
      <x:c r="J151" s="35" t="n">
        <x:v>3.5</x:v>
      </x:c>
      <x:c r="K151" s="29" t="str">
        <x:v>合格</x:v>
      </x:c>
      <x:c r="L151" s="41" t="str">
        <x:v>终止搅拌，直接出料；同步记录台账，留存实测参数备查。</x:v>
      </x:c>
      <x:c r="M151" s="29" t="str">
        <x:v>否</x:v>
      </x:c>
      <x:c r="N151" s="29" t="str">
        <x:f>IF(COUNTIFS('C30规则'!$A$5:$A$9,D151,'C30规则'!$C$5:$C$9,"&lt;="&amp;E151,'C30规则'!$D$5:$D$9,"&gt;="&amp;E151,'C30规则'!$E$5:$E$9,"&lt;="&amp;G151,'C30规则'!$F$5:$F$9,"&gt;="&amp;G151,'C30规则'!$G$5:$G$9,"&lt;="&amp;H151,'C30规则'!$H$5:$H$9,"&gt;="&amp;H151,'C30规则'!$I$5:$I$9,"&lt;="&amp;I151,'C30规则'!$J$5:$J$9,"&gt;="&amp;I151,'C30规则'!$K$5:$K$9,"&lt;="&amp;J151,'C30规则'!$L$5:$L$9,"&gt;="&amp;J151)=1,"通过","检查")</x:f>
        <x:v>通过</x:v>
      </x:c>
      <x:c r="O151" s="29" t="str">
        <x:v>RULE_DERIVED</x:v>
      </x:c>
    </x:row>
    <x:row r="152">
      <x:c r="A152" s="29" t="str">
        <x:v>C30-20260812-008</x:v>
      </x:c>
      <x:c r="B152" s="32" t="n">
        <x:v>46246.57083333333</x:v>
      </x:c>
      <x:c r="C152" s="29" t="str">
        <x:v>C30</x:v>
      </x:c>
      <x:c r="D152" s="29" t="str">
        <x:v>WET_SEVERE</x:v>
      </x:c>
      <x:c r="E152" s="35" t="n">
        <x:v>48.9</x:v>
      </x:c>
      <x:c r="F152" s="41" t="str">
        <x:v>过稀，泌水，离析，骨料下沉，存在堵泵风险</x:v>
      </x:c>
      <x:c r="G152" s="38" t="n">
        <x:v>41</x:v>
      </x:c>
      <x:c r="H152" s="38" t="n">
        <x:v>221</x:v>
      </x:c>
      <x:c r="I152" s="38" t="n">
        <x:v>628</x:v>
      </x:c>
      <x:c r="J152" s="35" t="n">
        <x:v>1.7</x:v>
      </x:c>
      <x:c r="K152" s="29" t="str">
        <x:v>不合格</x:v>
      </x:c>
      <x:c r="L152" s="41" t="str">
        <x:v>立即暂停出料；加入10–12kg/m³干砂和3–5kg/m³水泥，搅拌60s后复测；仍离析则废弃并排查计量系统。</x:v>
      </x:c>
      <x:c r="M152" s="29" t="str">
        <x:v>是</x:v>
      </x:c>
      <x:c r="N152" s="29" t="str">
        <x:f>IF(COUNTIFS('C30规则'!$A$5:$A$9,D152,'C30规则'!$C$5:$C$9,"&lt;="&amp;E152,'C30规则'!$D$5:$D$9,"&gt;="&amp;E152,'C30规则'!$E$5:$E$9,"&lt;="&amp;G152,'C30规则'!$F$5:$F$9,"&gt;="&amp;G152,'C30规则'!$G$5:$G$9,"&lt;="&amp;H152,'C30规则'!$H$5:$H$9,"&gt;="&amp;H152,'C30规则'!$I$5:$I$9,"&lt;="&amp;I152,'C30规则'!$J$5:$J$9,"&gt;="&amp;I152,'C30规则'!$K$5:$K$9,"&lt;="&amp;J152,'C30规则'!$L$5:$L$9,"&gt;="&amp;J152)=1,"通过","检查")</x:f>
        <x:v>通过</x:v>
      </x:c>
      <x:c r="O152" s="29" t="str">
        <x:v>RULE_DERIVED</x:v>
      </x:c>
    </x:row>
    <x:row r="153">
      <x:c r="A153" s="29" t="str">
        <x:v>C30-20260812-009</x:v>
      </x:c>
      <x:c r="B153" s="32" t="n">
        <x:v>46246.60138888889</x:v>
      </x:c>
      <x:c r="C153" s="29" t="str">
        <x:v>C30</x:v>
      </x:c>
      <x:c r="D153" s="29" t="str">
        <x:v>NORMAL</x:v>
      </x:c>
      <x:c r="E153" s="35" t="n">
        <x:v>55.9</x:v>
      </x:c>
      <x:c r="F153" s="41" t="str">
        <x:v>稠度适中，包裹性好，不泌水，不结块，泵送顺畅</x:v>
      </x:c>
      <x:c r="G153" s="38" t="n">
        <x:v>12</x:v>
      </x:c>
      <x:c r="H153" s="38" t="n">
        <x:v>192</x:v>
      </x:c>
      <x:c r="I153" s="38" t="n">
        <x:v>568</x:v>
      </x:c>
      <x:c r="J153" s="35" t="n">
        <x:v>2.7</x:v>
      </x:c>
      <x:c r="K153" s="29" t="str">
        <x:v>合格</x:v>
      </x:c>
      <x:c r="L153" s="41" t="str">
        <x:v>终止搅拌，直接出料；同步记录台账，留存实测参数备查。</x:v>
      </x:c>
      <x:c r="M153" s="29" t="str">
        <x:v>否</x:v>
      </x:c>
      <x:c r="N153" s="29" t="str">
        <x:f>IF(COUNTIFS('C30规则'!$A$5:$A$9,D153,'C30规则'!$C$5:$C$9,"&lt;="&amp;E153,'C30规则'!$D$5:$D$9,"&gt;="&amp;E153,'C30规则'!$E$5:$E$9,"&lt;="&amp;G153,'C30规则'!$F$5:$F$9,"&gt;="&amp;G153,'C30规则'!$G$5:$G$9,"&lt;="&amp;H153,'C30规则'!$H$5:$H$9,"&gt;="&amp;H153,'C30规则'!$I$5:$I$9,"&lt;="&amp;I153,'C30规则'!$J$5:$J$9,"&gt;="&amp;I153,'C30规则'!$K$5:$K$9,"&lt;="&amp;J153,'C30规则'!$L$5:$L$9,"&gt;="&amp;J153)=1,"通过","检查")</x:f>
        <x:v>通过</x:v>
      </x:c>
      <x:c r="O153" s="29" t="str">
        <x:v>RULE_DERIVED</x:v>
      </x:c>
    </x:row>
    <x:row r="154">
      <x:c r="A154" s="29" t="str">
        <x:v>C30-20260812-010</x:v>
      </x:c>
      <x:c r="B154" s="32" t="n">
        <x:v>46246.6375</x:v>
      </x:c>
      <x:c r="C154" s="29" t="str">
        <x:v>C30</x:v>
      </x:c>
      <x:c r="D154" s="29" t="str">
        <x:v>WET_MILD</x:v>
      </x:c>
      <x:c r="E154" s="35" t="n">
        <x:v>45.3</x:v>
      </x:c>
      <x:c r="F154" s="41" t="str">
        <x:v>偏稀，流动性偏大，无泌水</x:v>
      </x:c>
      <x:c r="G154" s="38" t="n">
        <x:v>29</x:v>
      </x:c>
      <x:c r="H154" s="38" t="n">
        <x:v>209</x:v>
      </x:c>
      <x:c r="I154" s="38" t="n">
        <x:v>602</x:v>
      </x:c>
      <x:c r="J154" s="35" t="n">
        <x:v>1.9</x:v>
      </x:c>
      <x:c r="K154" s="29" t="str">
        <x:v>轻微异常</x:v>
      </x:c>
      <x:c r="L154" s="41" t="str">
        <x:v>加入5–8kg/m³干砂，搅拌30s后复测，达标后正常出料并观察泵送。</x:v>
      </x:c>
      <x:c r="M154" s="29" t="str">
        <x:v>是</x:v>
      </x:c>
      <x:c r="N154" s="29" t="str">
        <x:f>IF(COUNTIFS('C30规则'!$A$5:$A$9,D154,'C30规则'!$C$5:$C$9,"&lt;="&amp;E154,'C30规则'!$D$5:$D$9,"&gt;="&amp;E154,'C30规则'!$E$5:$E$9,"&lt;="&amp;G154,'C30规则'!$F$5:$F$9,"&gt;="&amp;G154,'C30规则'!$G$5:$G$9,"&lt;="&amp;H154,'C30规则'!$H$5:$H$9,"&gt;="&amp;H154,'C30规则'!$I$5:$I$9,"&lt;="&amp;I154,'C30规则'!$J$5:$J$9,"&gt;="&amp;I154,'C30规则'!$K$5:$K$9,"&lt;="&amp;J154,'C30规则'!$L$5:$L$9,"&gt;="&amp;J154)=1,"通过","检查")</x:f>
        <x:v>通过</x:v>
      </x:c>
      <x:c r="O154" s="29" t="str">
        <x:v>RULE_DERIVED</x:v>
      </x:c>
    </x:row>
    <x:row r="155">
      <x:c r="A155" s="29" t="str">
        <x:v>C30-20260813-001</x:v>
      </x:c>
      <x:c r="B155" s="32" t="n">
        <x:v>46247.334027777775</x:v>
      </x:c>
      <x:c r="C155" s="29" t="str">
        <x:v>C30</x:v>
      </x:c>
      <x:c r="D155" s="29" t="str">
        <x:v>NORMAL</x:v>
      </x:c>
      <x:c r="E155" s="35" t="n">
        <x:v>55.7</x:v>
      </x:c>
      <x:c r="F155" s="41" t="str">
        <x:v>稠度适中，包裹性好，不泌水，不结块，泵送顺畅</x:v>
      </x:c>
      <x:c r="G155" s="38" t="n">
        <x:v>15</x:v>
      </x:c>
      <x:c r="H155" s="38" t="n">
        <x:v>195</x:v>
      </x:c>
      <x:c r="I155" s="38" t="n">
        <x:v>560</x:v>
      </x:c>
      <x:c r="J155" s="35" t="n">
        <x:v>2.6</x:v>
      </x:c>
      <x:c r="K155" s="29" t="str">
        <x:v>合格</x:v>
      </x:c>
      <x:c r="L155" s="41" t="str">
        <x:v>终止搅拌，直接出料；同步记录台账，留存实测参数备查。</x:v>
      </x:c>
      <x:c r="M155" s="29" t="str">
        <x:v>否</x:v>
      </x:c>
      <x:c r="N155" s="29" t="str">
        <x:f>IF(COUNTIFS('C30规则'!$A$5:$A$9,D155,'C30规则'!$C$5:$C$9,"&lt;="&amp;E155,'C30规则'!$D$5:$D$9,"&gt;="&amp;E155,'C30规则'!$E$5:$E$9,"&lt;="&amp;G155,'C30规则'!$F$5:$F$9,"&gt;="&amp;G155,'C30规则'!$G$5:$G$9,"&lt;="&amp;H155,'C30规则'!$H$5:$H$9,"&gt;="&amp;H155,'C30规则'!$I$5:$I$9,"&lt;="&amp;I155,'C30规则'!$J$5:$J$9,"&gt;="&amp;I155,'C30规则'!$K$5:$K$9,"&lt;="&amp;J155,'C30规则'!$L$5:$L$9,"&gt;="&amp;J155)=1,"通过","检查")</x:f>
        <x:v>通过</x:v>
      </x:c>
      <x:c r="O155" s="29" t="str">
        <x:v>RULE_DERIVED</x:v>
      </x:c>
    </x:row>
    <x:row r="156">
      <x:c r="A156" s="29" t="str">
        <x:v>C30-20260813-002</x:v>
      </x:c>
      <x:c r="B156" s="32" t="n">
        <x:v>46247.36736111111</x:v>
      </x:c>
      <x:c r="C156" s="29" t="str">
        <x:v>C30</x:v>
      </x:c>
      <x:c r="D156" s="29" t="str">
        <x:v>NORMAL</x:v>
      </x:c>
      <x:c r="E156" s="35" t="n">
        <x:v>59.1</x:v>
      </x:c>
      <x:c r="F156" s="41" t="str">
        <x:v>稠度适中，包裹性好，不泌水，不结块，泵送顺畅</x:v>
      </x:c>
      <x:c r="G156" s="38" t="n">
        <x:v>-10</x:v>
      </x:c>
      <x:c r="H156" s="38" t="n">
        <x:v>170</x:v>
      </x:c>
      <x:c r="I156" s="38" t="n">
        <x:v>532</x:v>
      </x:c>
      <x:c r="J156" s="35" t="n">
        <x:v>4.2</x:v>
      </x:c>
      <x:c r="K156" s="29" t="str">
        <x:v>合格</x:v>
      </x:c>
      <x:c r="L156" s="41" t="str">
        <x:v>终止搅拌，直接出料；同步记录台账，留存实测参数备查。</x:v>
      </x:c>
      <x:c r="M156" s="29" t="str">
        <x:v>否</x:v>
      </x:c>
      <x:c r="N156" s="29" t="str">
        <x:f>IF(COUNTIFS('C30规则'!$A$5:$A$9,D156,'C30规则'!$C$5:$C$9,"&lt;="&amp;E156,'C30规则'!$D$5:$D$9,"&gt;="&amp;E156,'C30规则'!$E$5:$E$9,"&lt;="&amp;G156,'C30规则'!$F$5:$F$9,"&gt;="&amp;G156,'C30规则'!$G$5:$G$9,"&lt;="&amp;H156,'C30规则'!$H$5:$H$9,"&gt;="&amp;H156,'C30规则'!$I$5:$I$9,"&lt;="&amp;I156,'C30规则'!$J$5:$J$9,"&gt;="&amp;I156,'C30规则'!$K$5:$K$9,"&lt;="&amp;J156,'C30规则'!$L$5:$L$9,"&gt;="&amp;J156)=1,"通过","检查")</x:f>
        <x:v>通过</x:v>
      </x:c>
      <x:c r="O156" s="29" t="str">
        <x:v>RULE_DERIVED</x:v>
      </x:c>
    </x:row>
    <x:row r="157">
      <x:c r="A157" s="29" t="str">
        <x:v>C30-20260813-003</x:v>
      </x:c>
      <x:c r="B157" s="32" t="n">
        <x:v>46247.40138888889</x:v>
      </x:c>
      <x:c r="C157" s="29" t="str">
        <x:v>C30</x:v>
      </x:c>
      <x:c r="D157" s="29" t="str">
        <x:v>NORMAL</x:v>
      </x:c>
      <x:c r="E157" s="35" t="n">
        <x:v>59.4</x:v>
      </x:c>
      <x:c r="F157" s="41" t="str">
        <x:v>稠度适中，包裹性好，不泌水，不结块，泵送顺畅</x:v>
      </x:c>
      <x:c r="G157" s="38" t="n">
        <x:v>-12</x:v>
      </x:c>
      <x:c r="H157" s="38" t="n">
        <x:v>168</x:v>
      </x:c>
      <x:c r="I157" s="38" t="n">
        <x:v>530</x:v>
      </x:c>
      <x:c r="J157" s="35" t="n">
        <x:v>4.2</x:v>
      </x:c>
      <x:c r="K157" s="29" t="str">
        <x:v>合格</x:v>
      </x:c>
      <x:c r="L157" s="41" t="str">
        <x:v>终止搅拌，直接出料；同步记录台账，留存实测参数备查。</x:v>
      </x:c>
      <x:c r="M157" s="29" t="str">
        <x:v>否</x:v>
      </x:c>
      <x:c r="N157" s="29" t="str">
        <x:f>IF(COUNTIFS('C30规则'!$A$5:$A$9,D157,'C30规则'!$C$5:$C$9,"&lt;="&amp;E157,'C30规则'!$D$5:$D$9,"&gt;="&amp;E157,'C30规则'!$E$5:$E$9,"&lt;="&amp;G157,'C30规则'!$F$5:$F$9,"&gt;="&amp;G157,'C30规则'!$G$5:$G$9,"&lt;="&amp;H157,'C30规则'!$H$5:$H$9,"&gt;="&amp;H157,'C30规则'!$I$5:$I$9,"&lt;="&amp;I157,'C30规则'!$J$5:$J$9,"&gt;="&amp;I157,'C30规则'!$K$5:$K$9,"&lt;="&amp;J157,'C30规则'!$L$5:$L$9,"&gt;="&amp;J157)=1,"通过","检查")</x:f>
        <x:v>通过</x:v>
      </x:c>
      <x:c r="O157" s="29" t="str">
        <x:v>RULE_DERIVED</x:v>
      </x:c>
    </x:row>
    <x:row r="158">
      <x:c r="A158" s="29" t="str">
        <x:v>C30-20260813-004</x:v>
      </x:c>
      <x:c r="B158" s="32" t="n">
        <x:v>46247.436111111114</x:v>
      </x:c>
      <x:c r="C158" s="29" t="str">
        <x:v>C30</x:v>
      </x:c>
      <x:c r="D158" s="29" t="str">
        <x:v>NORMAL</x:v>
      </x:c>
      <x:c r="E158" s="35" t="n">
        <x:v>57.7</x:v>
      </x:c>
      <x:c r="F158" s="41" t="str">
        <x:v>稠度适中，包裹性好，不泌水，不结块，泵送顺畅</x:v>
      </x:c>
      <x:c r="G158" s="38" t="n">
        <x:v>1</x:v>
      </x:c>
      <x:c r="H158" s="38" t="n">
        <x:v>181</x:v>
      </x:c>
      <x:c r="I158" s="38" t="n">
        <x:v>551</x:v>
      </x:c>
      <x:c r="J158" s="35" t="n">
        <x:v>3.6</x:v>
      </x:c>
      <x:c r="K158" s="29" t="str">
        <x:v>合格</x:v>
      </x:c>
      <x:c r="L158" s="41" t="str">
        <x:v>终止搅拌，直接出料；同步记录台账，留存实测参数备查。</x:v>
      </x:c>
      <x:c r="M158" s="29" t="str">
        <x:v>否</x:v>
      </x:c>
      <x:c r="N158" s="29" t="str">
        <x:f>IF(COUNTIFS('C30规则'!$A$5:$A$9,D158,'C30规则'!$C$5:$C$9,"&lt;="&amp;E158,'C30规则'!$D$5:$D$9,"&gt;="&amp;E158,'C30规则'!$E$5:$E$9,"&lt;="&amp;G158,'C30规则'!$F$5:$F$9,"&gt;="&amp;G158,'C30规则'!$G$5:$G$9,"&lt;="&amp;H158,'C30规则'!$H$5:$H$9,"&gt;="&amp;H158,'C30规则'!$I$5:$I$9,"&lt;="&amp;I158,'C30规则'!$J$5:$J$9,"&gt;="&amp;I158,'C30规则'!$K$5:$K$9,"&lt;="&amp;J158,'C30规则'!$L$5:$L$9,"&gt;="&amp;J158)=1,"通过","检查")</x:f>
        <x:v>通过</x:v>
      </x:c>
      <x:c r="O158" s="29" t="str">
        <x:v>RULE_DERIVED</x:v>
      </x:c>
    </x:row>
    <x:row r="159">
      <x:c r="A159" s="29" t="str">
        <x:v>C30-20260813-005</x:v>
      </x:c>
      <x:c r="B159" s="32" t="n">
        <x:v>46247.46805555555</x:v>
      </x:c>
      <x:c r="C159" s="29" t="str">
        <x:v>C30</x:v>
      </x:c>
      <x:c r="D159" s="29" t="str">
        <x:v>NORMAL</x:v>
      </x:c>
      <x:c r="E159" s="35" t="n">
        <x:v>56.7</x:v>
      </x:c>
      <x:c r="F159" s="41" t="str">
        <x:v>稠度适中，包裹性好，不泌水，不结块，泵送顺畅</x:v>
      </x:c>
      <x:c r="G159" s="38" t="n">
        <x:v>7</x:v>
      </x:c>
      <x:c r="H159" s="38" t="n">
        <x:v>187</x:v>
      </x:c>
      <x:c r="I159" s="38" t="n">
        <x:v>563</x:v>
      </x:c>
      <x:c r="J159" s="35" t="n">
        <x:v>3.2</x:v>
      </x:c>
      <x:c r="K159" s="29" t="str">
        <x:v>合格</x:v>
      </x:c>
      <x:c r="L159" s="41" t="str">
        <x:v>终止搅拌，直接出料；同步记录台账，留存实测参数备查。</x:v>
      </x:c>
      <x:c r="M159" s="29" t="str">
        <x:v>否</x:v>
      </x:c>
      <x:c r="N159" s="29" t="str">
        <x:f>IF(COUNTIFS('C30规则'!$A$5:$A$9,D159,'C30规则'!$C$5:$C$9,"&lt;="&amp;E159,'C30规则'!$D$5:$D$9,"&gt;="&amp;E159,'C30规则'!$E$5:$E$9,"&lt;="&amp;G159,'C30规则'!$F$5:$F$9,"&gt;="&amp;G159,'C30规则'!$G$5:$G$9,"&lt;="&amp;H159,'C30规则'!$H$5:$H$9,"&gt;="&amp;H159,'C30规则'!$I$5:$I$9,"&lt;="&amp;I159,'C30规则'!$J$5:$J$9,"&gt;="&amp;I159,'C30规则'!$K$5:$K$9,"&lt;="&amp;J159,'C30规则'!$L$5:$L$9,"&gt;="&amp;J159)=1,"通过","检查")</x:f>
        <x:v>通过</x:v>
      </x:c>
      <x:c r="O159" s="29" t="str">
        <x:v>RULE_DERIVED</x:v>
      </x:c>
    </x:row>
    <x:row r="160">
      <x:c r="A160" s="29" t="str">
        <x:v>C30-20260813-006</x:v>
      </x:c>
      <x:c r="B160" s="32" t="n">
        <x:v>46247.504166666666</x:v>
      </x:c>
      <x:c r="C160" s="29" t="str">
        <x:v>C30</x:v>
      </x:c>
      <x:c r="D160" s="29" t="str">
        <x:v>NORMAL</x:v>
      </x:c>
      <x:c r="E160" s="35" t="n">
        <x:v>59.8</x:v>
      </x:c>
      <x:c r="F160" s="41" t="str">
        <x:v>稠度适中，包裹性好，不泌水，不结块，泵送顺畅</x:v>
      </x:c>
      <x:c r="G160" s="38" t="n">
        <x:v>-19</x:v>
      </x:c>
      <x:c r="H160" s="38" t="n">
        <x:v>161</x:v>
      </x:c>
      <x:c r="I160" s="38" t="n">
        <x:v>531</x:v>
      </x:c>
      <x:c r="J160" s="35" t="n">
        <x:v>4.5</x:v>
      </x:c>
      <x:c r="K160" s="29" t="str">
        <x:v>合格</x:v>
      </x:c>
      <x:c r="L160" s="41" t="str">
        <x:v>终止搅拌，直接出料；同步记录台账，留存实测参数备查。</x:v>
      </x:c>
      <x:c r="M160" s="29" t="str">
        <x:v>否</x:v>
      </x:c>
      <x:c r="N160" s="29" t="str">
        <x:f>IF(COUNTIFS('C30规则'!$A$5:$A$9,D160,'C30规则'!$C$5:$C$9,"&lt;="&amp;E160,'C30规则'!$D$5:$D$9,"&gt;="&amp;E160,'C30规则'!$E$5:$E$9,"&lt;="&amp;G160,'C30规则'!$F$5:$F$9,"&gt;="&amp;G160,'C30规则'!$G$5:$G$9,"&lt;="&amp;H160,'C30规则'!$H$5:$H$9,"&gt;="&amp;H160,'C30规则'!$I$5:$I$9,"&lt;="&amp;I160,'C30规则'!$J$5:$J$9,"&gt;="&amp;I160,'C30规则'!$K$5:$K$9,"&lt;="&amp;J160,'C30规则'!$L$5:$L$9,"&gt;="&amp;J160)=1,"通过","检查")</x:f>
        <x:v>通过</x:v>
      </x:c>
      <x:c r="O160" s="29" t="str">
        <x:v>RULE_DERIVED</x:v>
      </x:c>
    </x:row>
    <x:row r="161">
      <x:c r="A161" s="29" t="str">
        <x:v>C30-20260813-007</x:v>
      </x:c>
      <x:c r="B161" s="32" t="n">
        <x:v>46247.535416666666</x:v>
      </x:c>
      <x:c r="C161" s="29" t="str">
        <x:v>C30</x:v>
      </x:c>
      <x:c r="D161" s="29" t="str">
        <x:v>NORMAL</x:v>
      </x:c>
      <x:c r="E161" s="35" t="n">
        <x:v>56.6</x:v>
      </x:c>
      <x:c r="F161" s="41" t="str">
        <x:v>稠度适中，包裹性好，不泌水，不结块，泵送顺畅</x:v>
      </x:c>
      <x:c r="G161" s="38" t="n">
        <x:v>6</x:v>
      </x:c>
      <x:c r="H161" s="38" t="n">
        <x:v>186</x:v>
      </x:c>
      <x:c r="I161" s="38" t="n">
        <x:v>558</x:v>
      </x:c>
      <x:c r="J161" s="35" t="n">
        <x:v>3</x:v>
      </x:c>
      <x:c r="K161" s="29" t="str">
        <x:v>合格</x:v>
      </x:c>
      <x:c r="L161" s="41" t="str">
        <x:v>终止搅拌，直接出料；同步记录台账，留存实测参数备查。</x:v>
      </x:c>
      <x:c r="M161" s="29" t="str">
        <x:v>否</x:v>
      </x:c>
      <x:c r="N161" s="29" t="str">
        <x:f>IF(COUNTIFS('C30规则'!$A$5:$A$9,D161,'C30规则'!$C$5:$C$9,"&lt;="&amp;E161,'C30规则'!$D$5:$D$9,"&gt;="&amp;E161,'C30规则'!$E$5:$E$9,"&lt;="&amp;G161,'C30规则'!$F$5:$F$9,"&gt;="&amp;G161,'C30规则'!$G$5:$G$9,"&lt;="&amp;H161,'C30规则'!$H$5:$H$9,"&gt;="&amp;H161,'C30规则'!$I$5:$I$9,"&lt;="&amp;I161,'C30规则'!$J$5:$J$9,"&gt;="&amp;I161,'C30规则'!$K$5:$K$9,"&lt;="&amp;J161,'C30规则'!$L$5:$L$9,"&gt;="&amp;J161)=1,"通过","检查")</x:f>
        <x:v>通过</x:v>
      </x:c>
      <x:c r="O161" s="29" t="str">
        <x:v>RULE_DERIVED</x:v>
      </x:c>
    </x:row>
    <x:row r="162">
      <x:c r="A162" s="29" t="str">
        <x:v>C30-20260813-008</x:v>
      </x:c>
      <x:c r="B162" s="32" t="n">
        <x:v>46247.57152777778</x:v>
      </x:c>
      <x:c r="C162" s="29" t="str">
        <x:v>C30</x:v>
      </x:c>
      <x:c r="D162" s="29" t="str">
        <x:v>DRY_MILD</x:v>
      </x:c>
      <x:c r="E162" s="35" t="n">
        <x:v>63.7</x:v>
      </x:c>
      <x:c r="F162" s="41" t="str">
        <x:v>偏干，骨料微裸露，流动性偏弱</x:v>
      </x:c>
      <x:c r="G162" s="38" t="n">
        <x:v>-24</x:v>
      </x:c>
      <x:c r="H162" s="38" t="n">
        <x:v>156</x:v>
      </x:c>
      <x:c r="I162" s="38" t="n">
        <x:v>516</x:v>
      </x:c>
      <x:c r="J162" s="35" t="n">
        <x:v>4.9</x:v>
      </x:c>
      <x:c r="K162" s="29" t="str">
        <x:v>轻微异常</x:v>
      </x:c>
      <x:c r="L162" s="41" t="str">
        <x:v>优先增加聚羧酸减水剂掺量0.1%，搅拌30s后复测，达标后出料。</x:v>
      </x:c>
      <x:c r="M162" s="29" t="str">
        <x:v>是</x:v>
      </x:c>
      <x:c r="N162" s="29" t="str">
        <x:f>IF(COUNTIFS('C30规则'!$A$5:$A$9,D162,'C30规则'!$C$5:$C$9,"&lt;="&amp;E162,'C30规则'!$D$5:$D$9,"&gt;="&amp;E162,'C30规则'!$E$5:$E$9,"&lt;="&amp;G162,'C30规则'!$F$5:$F$9,"&gt;="&amp;G162,'C30规则'!$G$5:$G$9,"&lt;="&amp;H162,'C30规则'!$H$5:$H$9,"&gt;="&amp;H162,'C30规则'!$I$5:$I$9,"&lt;="&amp;I162,'C30规则'!$J$5:$J$9,"&gt;="&amp;I162,'C30规则'!$K$5:$K$9,"&lt;="&amp;J162,'C30规则'!$L$5:$L$9,"&gt;="&amp;J162)=1,"通过","检查")</x:f>
        <x:v>通过</x:v>
      </x:c>
      <x:c r="O162" s="29" t="str">
        <x:v>RULE_DERIVED</x:v>
      </x:c>
    </x:row>
    <x:row r="163">
      <x:c r="A163" s="29" t="str">
        <x:v>C30-20260813-009</x:v>
      </x:c>
      <x:c r="B163" s="32" t="n">
        <x:v>46247.60208333333</x:v>
      </x:c>
      <x:c r="C163" s="29" t="str">
        <x:v>C30</x:v>
      </x:c>
      <x:c r="D163" s="29" t="str">
        <x:v>NORMAL</x:v>
      </x:c>
      <x:c r="E163" s="35" t="n">
        <x:v>56.1</x:v>
      </x:c>
      <x:c r="F163" s="41" t="str">
        <x:v>稠度适中，包裹性好，不泌水，不结块，泵送顺畅</x:v>
      </x:c>
      <x:c r="G163" s="38" t="n">
        <x:v>14</x:v>
      </x:c>
      <x:c r="H163" s="38" t="n">
        <x:v>194</x:v>
      </x:c>
      <x:c r="I163" s="38" t="n">
        <x:v>565</x:v>
      </x:c>
      <x:c r="J163" s="35" t="n">
        <x:v>2.9</x:v>
      </x:c>
      <x:c r="K163" s="29" t="str">
        <x:v>合格</x:v>
      </x:c>
      <x:c r="L163" s="41" t="str">
        <x:v>终止搅拌，直接出料；同步记录台账，留存实测参数备查。</x:v>
      </x:c>
      <x:c r="M163" s="29" t="str">
        <x:v>否</x:v>
      </x:c>
      <x:c r="N163" s="29" t="str">
        <x:f>IF(COUNTIFS('C30规则'!$A$5:$A$9,D163,'C30规则'!$C$5:$C$9,"&lt;="&amp;E163,'C30规则'!$D$5:$D$9,"&gt;="&amp;E163,'C30规则'!$E$5:$E$9,"&lt;="&amp;G163,'C30规则'!$F$5:$F$9,"&gt;="&amp;G163,'C30规则'!$G$5:$G$9,"&lt;="&amp;H163,'C30规则'!$H$5:$H$9,"&gt;="&amp;H163,'C30规则'!$I$5:$I$9,"&lt;="&amp;I163,'C30规则'!$J$5:$J$9,"&gt;="&amp;I163,'C30规则'!$K$5:$K$9,"&lt;="&amp;J163,'C30规则'!$L$5:$L$9,"&gt;="&amp;J163)=1,"通过","检查")</x:f>
        <x:v>通过</x:v>
      </x:c>
      <x:c r="O163" s="29" t="str">
        <x:v>RULE_DERIVED</x:v>
      </x:c>
    </x:row>
    <x:row r="164">
      <x:c r="A164" s="29" t="str">
        <x:v>C30-20260813-010</x:v>
      </x:c>
      <x:c r="B164" s="32" t="n">
        <x:v>46247.6375</x:v>
      </x:c>
      <x:c r="C164" s="29" t="str">
        <x:v>C30</x:v>
      </x:c>
      <x:c r="D164" s="29" t="str">
        <x:v>DRY_SEVERE</x:v>
      </x:c>
      <x:c r="E164" s="35" t="n">
        <x:v>73.7</x:v>
      </x:c>
      <x:c r="F164" s="41" t="str">
        <x:v>干涩，结块，挂壁，流动性极差，无法泵送</x:v>
      </x:c>
      <x:c r="G164" s="38" t="n">
        <x:v>-49</x:v>
      </x:c>
      <x:c r="H164" s="38" t="n">
        <x:v>131</x:v>
      </x:c>
      <x:c r="I164" s="38" t="n">
        <x:v>480</x:v>
      </x:c>
      <x:c r="J164" s="35" t="n">
        <x:v>6.1</x:v>
      </x:c>
      <x:c r="K164" s="29" t="str">
        <x:v>不合格</x:v>
      </x:c>
      <x:c r="L164" s="41" t="str">
        <x:v>优先补加0.2%减水剂和5kg清水，搅拌60s后复测。</x:v>
      </x:c>
      <x:c r="M164" s="29" t="str">
        <x:v>是</x:v>
      </x:c>
      <x:c r="N164" s="29" t="str">
        <x:f>IF(COUNTIFS('C30规则'!$A$5:$A$9,D164,'C30规则'!$C$5:$C$9,"&lt;="&amp;E164,'C30规则'!$D$5:$D$9,"&gt;="&amp;E164,'C30规则'!$E$5:$E$9,"&lt;="&amp;G164,'C30规则'!$F$5:$F$9,"&gt;="&amp;G164,'C30规则'!$G$5:$G$9,"&lt;="&amp;H164,'C30规则'!$H$5:$H$9,"&gt;="&amp;H164,'C30规则'!$I$5:$I$9,"&lt;="&amp;I164,'C30规则'!$J$5:$J$9,"&gt;="&amp;I164,'C30规则'!$K$5:$K$9,"&lt;="&amp;J164,'C30规则'!$L$5:$L$9,"&gt;="&amp;J164)=1,"通过","检查")</x:f>
        <x:v>通过</x:v>
      </x:c>
      <x:c r="O164" s="29" t="str">
        <x:v>RULE_DERIVED</x:v>
      </x:c>
    </x:row>
    <x:row r="165">
      <x:c r="A165" s="29" t="str">
        <x:v>C30-20260814-001</x:v>
      </x:c>
      <x:c r="B165" s="32" t="n">
        <x:v>46248.334027777775</x:v>
      </x:c>
      <x:c r="C165" s="29" t="str">
        <x:v>C30</x:v>
      </x:c>
      <x:c r="D165" s="29" t="str">
        <x:v>NORMAL</x:v>
      </x:c>
      <x:c r="E165" s="35" t="n">
        <x:v>57.7</x:v>
      </x:c>
      <x:c r="F165" s="41" t="str">
        <x:v>稠度适中，包裹性好，不泌水，不结块，泵送顺畅</x:v>
      </x:c>
      <x:c r="G165" s="38" t="n">
        <x:v>1</x:v>
      </x:c>
      <x:c r="H165" s="38" t="n">
        <x:v>181</x:v>
      </x:c>
      <x:c r="I165" s="38" t="n">
        <x:v>547</x:v>
      </x:c>
      <x:c r="J165" s="35" t="n">
        <x:v>3.5</x:v>
      </x:c>
      <x:c r="K165" s="29" t="str">
        <x:v>合格</x:v>
      </x:c>
      <x:c r="L165" s="41" t="str">
        <x:v>终止搅拌，直接出料；同步记录台账，留存实测参数备查。</x:v>
      </x:c>
      <x:c r="M165" s="29" t="str">
        <x:v>否</x:v>
      </x:c>
      <x:c r="N165" s="29" t="str">
        <x:f>IF(COUNTIFS('C30规则'!$A$5:$A$9,D165,'C30规则'!$C$5:$C$9,"&lt;="&amp;E165,'C30规则'!$D$5:$D$9,"&gt;="&amp;E165,'C30规则'!$E$5:$E$9,"&lt;="&amp;G165,'C30规则'!$F$5:$F$9,"&gt;="&amp;G165,'C30规则'!$G$5:$G$9,"&lt;="&amp;H165,'C30规则'!$H$5:$H$9,"&gt;="&amp;H165,'C30规则'!$I$5:$I$9,"&lt;="&amp;I165,'C30规则'!$J$5:$J$9,"&gt;="&amp;I165,'C30规则'!$K$5:$K$9,"&lt;="&amp;J165,'C30规则'!$L$5:$L$9,"&gt;="&amp;J165)=1,"通过","检查")</x:f>
        <x:v>通过</x:v>
      </x:c>
      <x:c r="O165" s="29" t="str">
        <x:v>RULE_DERIVED</x:v>
      </x:c>
    </x:row>
    <x:row r="166">
      <x:c r="A166" s="29" t="str">
        <x:v>C30-20260814-002</x:v>
      </x:c>
      <x:c r="B166" s="32" t="n">
        <x:v>46248.368055555555</x:v>
      </x:c>
      <x:c r="C166" s="29" t="str">
        <x:v>C30</x:v>
      </x:c>
      <x:c r="D166" s="29" t="str">
        <x:v>DRY_MILD</x:v>
      </x:c>
      <x:c r="E166" s="35" t="n">
        <x:v>60.8</x:v>
      </x:c>
      <x:c r="F166" s="41" t="str">
        <x:v>偏干，骨料微裸露，流动性偏弱</x:v>
      </x:c>
      <x:c r="G166" s="38" t="n">
        <x:v>-23</x:v>
      </x:c>
      <x:c r="H166" s="38" t="n">
        <x:v>157</x:v>
      </x:c>
      <x:c r="I166" s="38" t="n">
        <x:v>520</x:v>
      </x:c>
      <x:c r="J166" s="35" t="n">
        <x:v>4.6</x:v>
      </x:c>
      <x:c r="K166" s="29" t="str">
        <x:v>轻微异常</x:v>
      </x:c>
      <x:c r="L166" s="41" t="str">
        <x:v>优先增加聚羧酸减水剂掺量0.1%，搅拌30s后复测，达标后出料。</x:v>
      </x:c>
      <x:c r="M166" s="29" t="str">
        <x:v>是</x:v>
      </x:c>
      <x:c r="N166" s="29" t="str">
        <x:f>IF(COUNTIFS('C30规则'!$A$5:$A$9,D166,'C30规则'!$C$5:$C$9,"&lt;="&amp;E166,'C30规则'!$D$5:$D$9,"&gt;="&amp;E166,'C30规则'!$E$5:$E$9,"&lt;="&amp;G166,'C30规则'!$F$5:$F$9,"&gt;="&amp;G166,'C30规则'!$G$5:$G$9,"&lt;="&amp;H166,'C30规则'!$H$5:$H$9,"&gt;="&amp;H166,'C30规则'!$I$5:$I$9,"&lt;="&amp;I166,'C30规则'!$J$5:$J$9,"&gt;="&amp;I166,'C30规则'!$K$5:$K$9,"&lt;="&amp;J166,'C30规则'!$L$5:$L$9,"&gt;="&amp;J166)=1,"通过","检查")</x:f>
        <x:v>通过</x:v>
      </x:c>
      <x:c r="O166" s="29" t="str">
        <x:v>RULE_DERIVED</x:v>
      </x:c>
    </x:row>
    <x:row r="167">
      <x:c r="A167" s="29" t="str">
        <x:v>C30-20260814-003</x:v>
      </x:c>
      <x:c r="B167" s="32" t="n">
        <x:v>46248.402083333334</x:v>
      </x:c>
      <x:c r="C167" s="29" t="str">
        <x:v>C30</x:v>
      </x:c>
      <x:c r="D167" s="29" t="str">
        <x:v>NORMAL</x:v>
      </x:c>
      <x:c r="E167" s="35" t="n">
        <x:v>57.3</x:v>
      </x:c>
      <x:c r="F167" s="41" t="str">
        <x:v>稠度适中，包裹性好，不泌水，不结块，泵送顺畅</x:v>
      </x:c>
      <x:c r="G167" s="38" t="n">
        <x:v>0</x:v>
      </x:c>
      <x:c r="H167" s="38" t="n">
        <x:v>180</x:v>
      </x:c>
      <x:c r="I167" s="38" t="n">
        <x:v>554</x:v>
      </x:c>
      <x:c r="J167" s="35" t="n">
        <x:v>3.4</x:v>
      </x:c>
      <x:c r="K167" s="29" t="str">
        <x:v>合格</x:v>
      </x:c>
      <x:c r="L167" s="41" t="str">
        <x:v>终止搅拌，直接出料；同步记录台账，留存实测参数备查。</x:v>
      </x:c>
      <x:c r="M167" s="29" t="str">
        <x:v>否</x:v>
      </x:c>
      <x:c r="N167" s="29" t="str">
        <x:f>IF(COUNTIFS('C30规则'!$A$5:$A$9,D167,'C30规则'!$C$5:$C$9,"&lt;="&amp;E167,'C30规则'!$D$5:$D$9,"&gt;="&amp;E167,'C30规则'!$E$5:$E$9,"&lt;="&amp;G167,'C30规则'!$F$5:$F$9,"&gt;="&amp;G167,'C30规则'!$G$5:$G$9,"&lt;="&amp;H167,'C30规则'!$H$5:$H$9,"&gt;="&amp;H167,'C30规则'!$I$5:$I$9,"&lt;="&amp;I167,'C30规则'!$J$5:$J$9,"&gt;="&amp;I167,'C30规则'!$K$5:$K$9,"&lt;="&amp;J167,'C30规则'!$L$5:$L$9,"&gt;="&amp;J167)=1,"通过","检查")</x:f>
        <x:v>通过</x:v>
      </x:c>
      <x:c r="O167" s="29" t="str">
        <x:v>RULE_DERIVED</x:v>
      </x:c>
    </x:row>
    <x:row r="168">
      <x:c r="A168" s="29" t="str">
        <x:v>C30-20260814-004</x:v>
      </x:c>
      <x:c r="B168" s="32" t="n">
        <x:v>46248.43541666667</x:v>
      </x:c>
      <x:c r="C168" s="29" t="str">
        <x:v>C30</x:v>
      </x:c>
      <x:c r="D168" s="29" t="str">
        <x:v>NORMAL</x:v>
      </x:c>
      <x:c r="E168" s="35" t="n">
        <x:v>57.7</x:v>
      </x:c>
      <x:c r="F168" s="41" t="str">
        <x:v>稠度适中，包裹性好，不泌水，不结块，泵送顺畅</x:v>
      </x:c>
      <x:c r="G168" s="38" t="n">
        <x:v>-4</x:v>
      </x:c>
      <x:c r="H168" s="38" t="n">
        <x:v>176</x:v>
      </x:c>
      <x:c r="I168" s="38" t="n">
        <x:v>554</x:v>
      </x:c>
      <x:c r="J168" s="35" t="n">
        <x:v>3.7</x:v>
      </x:c>
      <x:c r="K168" s="29" t="str">
        <x:v>合格</x:v>
      </x:c>
      <x:c r="L168" s="41" t="str">
        <x:v>终止搅拌，直接出料；同步记录台账，留存实测参数备查。</x:v>
      </x:c>
      <x:c r="M168" s="29" t="str">
        <x:v>否</x:v>
      </x:c>
      <x:c r="N168" s="29" t="str">
        <x:f>IF(COUNTIFS('C30规则'!$A$5:$A$9,D168,'C30规则'!$C$5:$C$9,"&lt;="&amp;E168,'C30规则'!$D$5:$D$9,"&gt;="&amp;E168,'C30规则'!$E$5:$E$9,"&lt;="&amp;G168,'C30规则'!$F$5:$F$9,"&gt;="&amp;G168,'C30规则'!$G$5:$G$9,"&lt;="&amp;H168,'C30规则'!$H$5:$H$9,"&gt;="&amp;H168,'C30规则'!$I$5:$I$9,"&lt;="&amp;I168,'C30规则'!$J$5:$J$9,"&gt;="&amp;I168,'C30规则'!$K$5:$K$9,"&lt;="&amp;J168,'C30规则'!$L$5:$L$9,"&gt;="&amp;J168)=1,"通过","检查")</x:f>
        <x:v>通过</x:v>
      </x:c>
      <x:c r="O168" s="29" t="str">
        <x:v>RULE_DERIVED</x:v>
      </x:c>
    </x:row>
    <x:row r="169">
      <x:c r="A169" s="29" t="str">
        <x:v>C30-20260814-005</x:v>
      </x:c>
      <x:c r="B169" s="32" t="n">
        <x:v>46248.47152777778</x:v>
      </x:c>
      <x:c r="C169" s="29" t="str">
        <x:v>C30</x:v>
      </x:c>
      <x:c r="D169" s="29" t="str">
        <x:v>NORMAL</x:v>
      </x:c>
      <x:c r="E169" s="35" t="n">
        <x:v>56.9</x:v>
      </x:c>
      <x:c r="F169" s="41" t="str">
        <x:v>稠度适中，包裹性好，不泌水，不结块，泵送顺畅</x:v>
      </x:c>
      <x:c r="G169" s="38" t="n">
        <x:v>8</x:v>
      </x:c>
      <x:c r="H169" s="38" t="n">
        <x:v>188</x:v>
      </x:c>
      <x:c r="I169" s="38" t="n">
        <x:v>552</x:v>
      </x:c>
      <x:c r="J169" s="35" t="n">
        <x:v>3.3</x:v>
      </x:c>
      <x:c r="K169" s="29" t="str">
        <x:v>合格</x:v>
      </x:c>
      <x:c r="L169" s="41" t="str">
        <x:v>终止搅拌，直接出料；同步记录台账，留存实测参数备查。</x:v>
      </x:c>
      <x:c r="M169" s="29" t="str">
        <x:v>否</x:v>
      </x:c>
      <x:c r="N169" s="29" t="str">
        <x:f>IF(COUNTIFS('C30规则'!$A$5:$A$9,D169,'C30规则'!$C$5:$C$9,"&lt;="&amp;E169,'C30规则'!$D$5:$D$9,"&gt;="&amp;E169,'C30规则'!$E$5:$E$9,"&lt;="&amp;G169,'C30规则'!$F$5:$F$9,"&gt;="&amp;G169,'C30规则'!$G$5:$G$9,"&lt;="&amp;H169,'C30规则'!$H$5:$H$9,"&gt;="&amp;H169,'C30规则'!$I$5:$I$9,"&lt;="&amp;I169,'C30规则'!$J$5:$J$9,"&gt;="&amp;I169,'C30规则'!$K$5:$K$9,"&lt;="&amp;J169,'C30规则'!$L$5:$L$9,"&gt;="&amp;J169)=1,"通过","检查")</x:f>
        <x:v>通过</x:v>
      </x:c>
      <x:c r="O169" s="29" t="str">
        <x:v>RULE_DERIVED</x:v>
      </x:c>
    </x:row>
    <x:row r="170">
      <x:c r="A170" s="29" t="str">
        <x:v>C30-20260814-006</x:v>
      </x:c>
      <x:c r="B170" s="32" t="n">
        <x:v>46248.504166666666</x:v>
      </x:c>
      <x:c r="C170" s="29" t="str">
        <x:v>C30</x:v>
      </x:c>
      <x:c r="D170" s="29" t="str">
        <x:v>NORMAL</x:v>
      </x:c>
      <x:c r="E170" s="35" t="n">
        <x:v>56.5</x:v>
      </x:c>
      <x:c r="F170" s="41" t="str">
        <x:v>稠度适中，包裹性好，不泌水，不结块，泵送顺畅</x:v>
      </x:c>
      <x:c r="G170" s="38" t="n">
        <x:v>10</x:v>
      </x:c>
      <x:c r="H170" s="38" t="n">
        <x:v>190</x:v>
      </x:c>
      <x:c r="I170" s="38" t="n">
        <x:v>557</x:v>
      </x:c>
      <x:c r="J170" s="35" t="n">
        <x:v>3.1</x:v>
      </x:c>
      <x:c r="K170" s="29" t="str">
        <x:v>合格</x:v>
      </x:c>
      <x:c r="L170" s="41" t="str">
        <x:v>终止搅拌，直接出料；同步记录台账，留存实测参数备查。</x:v>
      </x:c>
      <x:c r="M170" s="29" t="str">
        <x:v>否</x:v>
      </x:c>
      <x:c r="N170" s="29" t="str">
        <x:f>IF(COUNTIFS('C30规则'!$A$5:$A$9,D170,'C30规则'!$C$5:$C$9,"&lt;="&amp;E170,'C30规则'!$D$5:$D$9,"&gt;="&amp;E170,'C30规则'!$E$5:$E$9,"&lt;="&amp;G170,'C30规则'!$F$5:$F$9,"&gt;="&amp;G170,'C30规则'!$G$5:$G$9,"&lt;="&amp;H170,'C30规则'!$H$5:$H$9,"&gt;="&amp;H170,'C30规则'!$I$5:$I$9,"&lt;="&amp;I170,'C30规则'!$J$5:$J$9,"&gt;="&amp;I170,'C30规则'!$K$5:$K$9,"&lt;="&amp;J170,'C30规则'!$L$5:$L$9,"&gt;="&amp;J170)=1,"通过","检查")</x:f>
        <x:v>通过</x:v>
      </x:c>
      <x:c r="O170" s="29" t="str">
        <x:v>RULE_DERIVED</x:v>
      </x:c>
    </x:row>
    <x:row r="171">
      <x:c r="A171" s="29" t="str">
        <x:v>C30-20260814-007</x:v>
      </x:c>
      <x:c r="B171" s="32" t="n">
        <x:v>46248.53680555556</x:v>
      </x:c>
      <x:c r="C171" s="29" t="str">
        <x:v>C30</x:v>
      </x:c>
      <x:c r="D171" s="29" t="str">
        <x:v>NORMAL</x:v>
      </x:c>
      <x:c r="E171" s="35" t="n">
        <x:v>59.7</x:v>
      </x:c>
      <x:c r="F171" s="41" t="str">
        <x:v>稠度适中，包裹性好，不泌水，不结块，泵送顺畅</x:v>
      </x:c>
      <x:c r="G171" s="38" t="n">
        <x:v>-20</x:v>
      </x:c>
      <x:c r="H171" s="38" t="n">
        <x:v>160</x:v>
      </x:c>
      <x:c r="I171" s="38" t="n">
        <x:v>530</x:v>
      </x:c>
      <x:c r="J171" s="35" t="n">
        <x:v>4.4</x:v>
      </x:c>
      <x:c r="K171" s="29" t="str">
        <x:v>合格</x:v>
      </x:c>
      <x:c r="L171" s="41" t="str">
        <x:v>终止搅拌，直接出料；同步记录台账，留存实测参数备查。</x:v>
      </x:c>
      <x:c r="M171" s="29" t="str">
        <x:v>否</x:v>
      </x:c>
      <x:c r="N171" s="29" t="str">
        <x:f>IF(COUNTIFS('C30规则'!$A$5:$A$9,D171,'C30规则'!$C$5:$C$9,"&lt;="&amp;E171,'C30规则'!$D$5:$D$9,"&gt;="&amp;E171,'C30规则'!$E$5:$E$9,"&lt;="&amp;G171,'C30规则'!$F$5:$F$9,"&gt;="&amp;G171,'C30规则'!$G$5:$G$9,"&lt;="&amp;H171,'C30规则'!$H$5:$H$9,"&gt;="&amp;H171,'C30规则'!$I$5:$I$9,"&lt;="&amp;I171,'C30规则'!$J$5:$J$9,"&gt;="&amp;I171,'C30规则'!$K$5:$K$9,"&lt;="&amp;J171,'C30规则'!$L$5:$L$9,"&gt;="&amp;J171)=1,"通过","检查")</x:f>
        <x:v>通过</x:v>
      </x:c>
      <x:c r="O171" s="29" t="str">
        <x:v>RULE_DERIVED</x:v>
      </x:c>
    </x:row>
    <x:row r="172">
      <x:c r="A172" s="29" t="str">
        <x:v>C30-20260814-008</x:v>
      </x:c>
      <x:c r="B172" s="32" t="n">
        <x:v>46248.56875</x:v>
      </x:c>
      <x:c r="C172" s="29" t="str">
        <x:v>C30</x:v>
      </x:c>
      <x:c r="D172" s="29" t="str">
        <x:v>NORMAL</x:v>
      </x:c>
      <x:c r="E172" s="35" t="n">
        <x:v>57</x:v>
      </x:c>
      <x:c r="F172" s="41" t="str">
        <x:v>稠度适中，包裹性好，不泌水，不结块，泵送顺畅</x:v>
      </x:c>
      <x:c r="G172" s="38" t="n">
        <x:v>7</x:v>
      </x:c>
      <x:c r="H172" s="38" t="n">
        <x:v>187</x:v>
      </x:c>
      <x:c r="I172" s="38" t="n">
        <x:v>549</x:v>
      </x:c>
      <x:c r="J172" s="35" t="n">
        <x:v>3.3</x:v>
      </x:c>
      <x:c r="K172" s="29" t="str">
        <x:v>合格</x:v>
      </x:c>
      <x:c r="L172" s="41" t="str">
        <x:v>终止搅拌，直接出料；同步记录台账，留存实测参数备查。</x:v>
      </x:c>
      <x:c r="M172" s="29" t="str">
        <x:v>否</x:v>
      </x:c>
      <x:c r="N172" s="29" t="str">
        <x:f>IF(COUNTIFS('C30规则'!$A$5:$A$9,D172,'C30规则'!$C$5:$C$9,"&lt;="&amp;E172,'C30规则'!$D$5:$D$9,"&gt;="&amp;E172,'C30规则'!$E$5:$E$9,"&lt;="&amp;G172,'C30规则'!$F$5:$F$9,"&gt;="&amp;G172,'C30规则'!$G$5:$G$9,"&lt;="&amp;H172,'C30规则'!$H$5:$H$9,"&gt;="&amp;H172,'C30规则'!$I$5:$I$9,"&lt;="&amp;I172,'C30规则'!$J$5:$J$9,"&gt;="&amp;I172,'C30规则'!$K$5:$K$9,"&lt;="&amp;J172,'C30规则'!$L$5:$L$9,"&gt;="&amp;J172)=1,"通过","检查")</x:f>
        <x:v>通过</x:v>
      </x:c>
      <x:c r="O172" s="29" t="str">
        <x:v>RULE_DERIVED</x:v>
      </x:c>
    </x:row>
    <x:row r="173">
      <x:c r="A173" s="29" t="str">
        <x:v>C30-20260814-009</x:v>
      </x:c>
      <x:c r="B173" s="32" t="n">
        <x:v>46248.6</x:v>
      </x:c>
      <x:c r="C173" s="29" t="str">
        <x:v>C30</x:v>
      </x:c>
      <x:c r="D173" s="29" t="str">
        <x:v>NORMAL</x:v>
      </x:c>
      <x:c r="E173" s="35" t="n">
        <x:v>59.7</x:v>
      </x:c>
      <x:c r="F173" s="41" t="str">
        <x:v>稠度适中，包裹性好，不泌水，不结块，泵送顺畅</x:v>
      </x:c>
      <x:c r="G173" s="38" t="n">
        <x:v>-17</x:v>
      </x:c>
      <x:c r="H173" s="38" t="n">
        <x:v>163</x:v>
      </x:c>
      <x:c r="I173" s="38" t="n">
        <x:v>535</x:v>
      </x:c>
      <x:c r="J173" s="35" t="n">
        <x:v>4.4</x:v>
      </x:c>
      <x:c r="K173" s="29" t="str">
        <x:v>合格</x:v>
      </x:c>
      <x:c r="L173" s="41" t="str">
        <x:v>终止搅拌，直接出料；同步记录台账，留存实测参数备查。</x:v>
      </x:c>
      <x:c r="M173" s="29" t="str">
        <x:v>否</x:v>
      </x:c>
      <x:c r="N173" s="29" t="str">
        <x:f>IF(COUNTIFS('C30规则'!$A$5:$A$9,D173,'C30规则'!$C$5:$C$9,"&lt;="&amp;E173,'C30规则'!$D$5:$D$9,"&gt;="&amp;E173,'C30规则'!$E$5:$E$9,"&lt;="&amp;G173,'C30规则'!$F$5:$F$9,"&gt;="&amp;G173,'C30规则'!$G$5:$G$9,"&lt;="&amp;H173,'C30规则'!$H$5:$H$9,"&gt;="&amp;H173,'C30规则'!$I$5:$I$9,"&lt;="&amp;I173,'C30规则'!$J$5:$J$9,"&gt;="&amp;I173,'C30规则'!$K$5:$K$9,"&lt;="&amp;J173,'C30规则'!$L$5:$L$9,"&gt;="&amp;J173)=1,"通过","检查")</x:f>
        <x:v>通过</x:v>
      </x:c>
      <x:c r="O173" s="29" t="str">
        <x:v>RULE_DERIVED</x:v>
      </x:c>
    </x:row>
    <x:row r="174">
      <x:c r="A174" s="29" t="str">
        <x:v>C30-20260814-010</x:v>
      </x:c>
      <x:c r="B174" s="32" t="n">
        <x:v>46248.63680555556</x:v>
      </x:c>
      <x:c r="C174" s="29" t="str">
        <x:v>C30</x:v>
      </x:c>
      <x:c r="D174" s="29" t="str">
        <x:v>NORMAL</x:v>
      </x:c>
      <x:c r="E174" s="35" t="n">
        <x:v>56</x:v>
      </x:c>
      <x:c r="F174" s="41" t="str">
        <x:v>稠度适中，包裹性好，不泌水，不结块，泵送顺畅</x:v>
      </x:c>
      <x:c r="G174" s="38" t="n">
        <x:v>15</x:v>
      </x:c>
      <x:c r="H174" s="38" t="n">
        <x:v>195</x:v>
      </x:c>
      <x:c r="I174" s="38" t="n">
        <x:v>559</x:v>
      </x:c>
      <x:c r="J174" s="35" t="n">
        <x:v>3</x:v>
      </x:c>
      <x:c r="K174" s="29" t="str">
        <x:v>合格</x:v>
      </x:c>
      <x:c r="L174" s="41" t="str">
        <x:v>终止搅拌，直接出料；同步记录台账，留存实测参数备查。</x:v>
      </x:c>
      <x:c r="M174" s="29" t="str">
        <x:v>否</x:v>
      </x:c>
      <x:c r="N174" s="29" t="str">
        <x:f>IF(COUNTIFS('C30规则'!$A$5:$A$9,D174,'C30规则'!$C$5:$C$9,"&lt;="&amp;E174,'C30规则'!$D$5:$D$9,"&gt;="&amp;E174,'C30规则'!$E$5:$E$9,"&lt;="&amp;G174,'C30规则'!$F$5:$F$9,"&gt;="&amp;G174,'C30规则'!$G$5:$G$9,"&lt;="&amp;H174,'C30规则'!$H$5:$H$9,"&gt;="&amp;H174,'C30规则'!$I$5:$I$9,"&lt;="&amp;I174,'C30规则'!$J$5:$J$9,"&gt;="&amp;I174,'C30规则'!$K$5:$K$9,"&lt;="&amp;J174,'C30规则'!$L$5:$L$9,"&gt;="&amp;J174)=1,"通过","检查")</x:f>
        <x:v>通过</x:v>
      </x:c>
      <x:c r="O174" s="29" t="str">
        <x:v>RULE_DERIVED</x:v>
      </x:c>
    </x:row>
    <x:row r="175">
      <x:c r="A175" s="29" t="str">
        <x:v>C30-20260815-001</x:v>
      </x:c>
      <x:c r="B175" s="32" t="n">
        <x:v>46249.336805555555</x:v>
      </x:c>
      <x:c r="C175" s="29" t="str">
        <x:v>C30</x:v>
      </x:c>
      <x:c r="D175" s="29" t="str">
        <x:v>DRY_MILD</x:v>
      </x:c>
      <x:c r="E175" s="35" t="n">
        <x:v>63.7</x:v>
      </x:c>
      <x:c r="F175" s="41" t="str">
        <x:v>偏干，骨料微裸露，流动性偏弱</x:v>
      </x:c>
      <x:c r="G175" s="38" t="n">
        <x:v>-21</x:v>
      </x:c>
      <x:c r="H175" s="38" t="n">
        <x:v>159</x:v>
      </x:c>
      <x:c r="I175" s="38" t="n">
        <x:v>517</x:v>
      </x:c>
      <x:c r="J175" s="35" t="n">
        <x:v>5</x:v>
      </x:c>
      <x:c r="K175" s="29" t="str">
        <x:v>轻微异常</x:v>
      </x:c>
      <x:c r="L175" s="41" t="str">
        <x:v>优先增加聚羧酸减水剂掺量0.1%，搅拌30s后复测，达标后出料。</x:v>
      </x:c>
      <x:c r="M175" s="29" t="str">
        <x:v>是</x:v>
      </x:c>
      <x:c r="N175" s="29" t="str">
        <x:f>IF(COUNTIFS('C30规则'!$A$5:$A$9,D175,'C30规则'!$C$5:$C$9,"&lt;="&amp;E175,'C30规则'!$D$5:$D$9,"&gt;="&amp;E175,'C30规则'!$E$5:$E$9,"&lt;="&amp;G175,'C30规则'!$F$5:$F$9,"&gt;="&amp;G175,'C30规则'!$G$5:$G$9,"&lt;="&amp;H175,'C30规则'!$H$5:$H$9,"&gt;="&amp;H175,'C30规则'!$I$5:$I$9,"&lt;="&amp;I175,'C30规则'!$J$5:$J$9,"&gt;="&amp;I175,'C30规则'!$K$5:$K$9,"&lt;="&amp;J175,'C30规则'!$L$5:$L$9,"&gt;="&amp;J175)=1,"通过","检查")</x:f>
        <x:v>通过</x:v>
      </x:c>
      <x:c r="O175" s="29" t="str">
        <x:v>RULE_DERIVED</x:v>
      </x:c>
    </x:row>
    <x:row r="176">
      <x:c r="A176" s="29" t="str">
        <x:v>C30-20260815-002</x:v>
      </x:c>
      <x:c r="B176" s="32" t="n">
        <x:v>46249.36875</x:v>
      </x:c>
      <x:c r="C176" s="29" t="str">
        <x:v>C30</x:v>
      </x:c>
      <x:c r="D176" s="29" t="str">
        <x:v>WET_MILD</x:v>
      </x:c>
      <x:c r="E176" s="35" t="n">
        <x:v>46.7</x:v>
      </x:c>
      <x:c r="F176" s="41" t="str">
        <x:v>偏稀，流动性偏大，无泌水</x:v>
      </x:c>
      <x:c r="G176" s="38" t="n">
        <x:v>29</x:v>
      </x:c>
      <x:c r="H176" s="38" t="n">
        <x:v>209</x:v>
      </x:c>
      <x:c r="I176" s="38" t="n">
        <x:v>610</x:v>
      </x:c>
      <x:c r="J176" s="35" t="n">
        <x:v>1.9</x:v>
      </x:c>
      <x:c r="K176" s="29" t="str">
        <x:v>轻微异常</x:v>
      </x:c>
      <x:c r="L176" s="41" t="str">
        <x:v>加入5–8kg/m³干砂，搅拌30s后复测，达标后正常出料并观察泵送。</x:v>
      </x:c>
      <x:c r="M176" s="29" t="str">
        <x:v>是</x:v>
      </x:c>
      <x:c r="N176" s="29" t="str">
        <x:f>IF(COUNTIFS('C30规则'!$A$5:$A$9,D176,'C30规则'!$C$5:$C$9,"&lt;="&amp;E176,'C30规则'!$D$5:$D$9,"&gt;="&amp;E176,'C30规则'!$E$5:$E$9,"&lt;="&amp;G176,'C30规则'!$F$5:$F$9,"&gt;="&amp;G176,'C30规则'!$G$5:$G$9,"&lt;="&amp;H176,'C30规则'!$H$5:$H$9,"&gt;="&amp;H176,'C30规则'!$I$5:$I$9,"&lt;="&amp;I176,'C30规则'!$J$5:$J$9,"&gt;="&amp;I176,'C30规则'!$K$5:$K$9,"&lt;="&amp;J176,'C30规则'!$L$5:$L$9,"&gt;="&amp;J176)=1,"通过","检查")</x:f>
        <x:v>通过</x:v>
      </x:c>
      <x:c r="O176" s="29" t="str">
        <x:v>RULE_DERIVED</x:v>
      </x:c>
    </x:row>
    <x:row r="177">
      <x:c r="A177" s="29" t="str">
        <x:v>C30-20260815-003</x:v>
      </x:c>
      <x:c r="B177" s="32" t="n">
        <x:v>46249.40416666667</x:v>
      </x:c>
      <x:c r="C177" s="29" t="str">
        <x:v>C30</x:v>
      </x:c>
      <x:c r="D177" s="29" t="str">
        <x:v>NORMAL</x:v>
      </x:c>
      <x:c r="E177" s="35" t="n">
        <x:v>57.8</x:v>
      </x:c>
      <x:c r="F177" s="41" t="str">
        <x:v>稠度适中，包裹性好，不泌水，不结块，泵送顺畅</x:v>
      </x:c>
      <x:c r="G177" s="38" t="n">
        <x:v>0</x:v>
      </x:c>
      <x:c r="H177" s="38" t="n">
        <x:v>180</x:v>
      </x:c>
      <x:c r="I177" s="38" t="n">
        <x:v>547</x:v>
      </x:c>
      <x:c r="J177" s="35" t="n">
        <x:v>3.5</x:v>
      </x:c>
      <x:c r="K177" s="29" t="str">
        <x:v>合格</x:v>
      </x:c>
      <x:c r="L177" s="41" t="str">
        <x:v>终止搅拌，直接出料；同步记录台账，留存实测参数备查。</x:v>
      </x:c>
      <x:c r="M177" s="29" t="str">
        <x:v>否</x:v>
      </x:c>
      <x:c r="N177" s="29" t="str">
        <x:f>IF(COUNTIFS('C30规则'!$A$5:$A$9,D177,'C30规则'!$C$5:$C$9,"&lt;="&amp;E177,'C30规则'!$D$5:$D$9,"&gt;="&amp;E177,'C30规则'!$E$5:$E$9,"&lt;="&amp;G177,'C30规则'!$F$5:$F$9,"&gt;="&amp;G177,'C30规则'!$G$5:$G$9,"&lt;="&amp;H177,'C30规则'!$H$5:$H$9,"&gt;="&amp;H177,'C30规则'!$I$5:$I$9,"&lt;="&amp;I177,'C30规则'!$J$5:$J$9,"&gt;="&amp;I177,'C30规则'!$K$5:$K$9,"&lt;="&amp;J177,'C30规则'!$L$5:$L$9,"&gt;="&amp;J177)=1,"通过","检查")</x:f>
        <x:v>通过</x:v>
      </x:c>
      <x:c r="O177" s="29" t="str">
        <x:v>RULE_DERIVED</x:v>
      </x:c>
    </x:row>
    <x:row r="178">
      <x:c r="A178" s="29" t="str">
        <x:v>C30-20260815-004</x:v>
      </x:c>
      <x:c r="B178" s="32" t="n">
        <x:v>46249.4375</x:v>
      </x:c>
      <x:c r="C178" s="29" t="str">
        <x:v>C30</x:v>
      </x:c>
      <x:c r="D178" s="29" t="str">
        <x:v>NORMAL</x:v>
      </x:c>
      <x:c r="E178" s="35" t="n">
        <x:v>58.1</x:v>
      </x:c>
      <x:c r="F178" s="41" t="str">
        <x:v>稠度适中，包裹性好，不泌水，不结块，泵送顺畅</x:v>
      </x:c>
      <x:c r="G178" s="38" t="n">
        <x:v>-2</x:v>
      </x:c>
      <x:c r="H178" s="38" t="n">
        <x:v>178</x:v>
      </x:c>
      <x:c r="I178" s="38" t="n">
        <x:v>542</x:v>
      </x:c>
      <x:c r="J178" s="35" t="n">
        <x:v>3.7</x:v>
      </x:c>
      <x:c r="K178" s="29" t="str">
        <x:v>合格</x:v>
      </x:c>
      <x:c r="L178" s="41" t="str">
        <x:v>终止搅拌，直接出料；同步记录台账，留存实测参数备查。</x:v>
      </x:c>
      <x:c r="M178" s="29" t="str">
        <x:v>否</x:v>
      </x:c>
      <x:c r="N178" s="29" t="str">
        <x:f>IF(COUNTIFS('C30规则'!$A$5:$A$9,D178,'C30规则'!$C$5:$C$9,"&lt;="&amp;E178,'C30规则'!$D$5:$D$9,"&gt;="&amp;E178,'C30规则'!$E$5:$E$9,"&lt;="&amp;G178,'C30规则'!$F$5:$F$9,"&gt;="&amp;G178,'C30规则'!$G$5:$G$9,"&lt;="&amp;H178,'C30规则'!$H$5:$H$9,"&gt;="&amp;H178,'C30规则'!$I$5:$I$9,"&lt;="&amp;I178,'C30规则'!$J$5:$J$9,"&gt;="&amp;I178,'C30规则'!$K$5:$K$9,"&lt;="&amp;J178,'C30规则'!$L$5:$L$9,"&gt;="&amp;J178)=1,"通过","检查")</x:f>
        <x:v>通过</x:v>
      </x:c>
      <x:c r="O178" s="29" t="str">
        <x:v>RULE_DERIVED</x:v>
      </x:c>
    </x:row>
    <x:row r="179">
      <x:c r="A179" s="29" t="str">
        <x:v>C30-20260815-005</x:v>
      </x:c>
      <x:c r="B179" s="32" t="n">
        <x:v>46249.47152777778</x:v>
      </x:c>
      <x:c r="C179" s="29" t="str">
        <x:v>C30</x:v>
      </x:c>
      <x:c r="D179" s="29" t="str">
        <x:v>DRY_MILD</x:v>
      </x:c>
      <x:c r="E179" s="35" t="n">
        <x:v>64.5</x:v>
      </x:c>
      <x:c r="F179" s="41" t="str">
        <x:v>偏干，骨料微裸露，流动性偏弱</x:v>
      </x:c>
      <x:c r="G179" s="38" t="n">
        <x:v>-22</x:v>
      </x:c>
      <x:c r="H179" s="38" t="n">
        <x:v>158</x:v>
      </x:c>
      <x:c r="I179" s="38" t="n">
        <x:v>506</x:v>
      </x:c>
      <x:c r="J179" s="35" t="n">
        <x:v>5.1</x:v>
      </x:c>
      <x:c r="K179" s="29" t="str">
        <x:v>轻微异常</x:v>
      </x:c>
      <x:c r="L179" s="41" t="str">
        <x:v>优先增加聚羧酸减水剂掺量0.1%，搅拌30s后复测，达标后出料。</x:v>
      </x:c>
      <x:c r="M179" s="29" t="str">
        <x:v>是</x:v>
      </x:c>
      <x:c r="N179" s="29" t="str">
        <x:f>IF(COUNTIFS('C30规则'!$A$5:$A$9,D179,'C30规则'!$C$5:$C$9,"&lt;="&amp;E179,'C30规则'!$D$5:$D$9,"&gt;="&amp;E179,'C30规则'!$E$5:$E$9,"&lt;="&amp;G179,'C30规则'!$F$5:$F$9,"&gt;="&amp;G179,'C30规则'!$G$5:$G$9,"&lt;="&amp;H179,'C30规则'!$H$5:$H$9,"&gt;="&amp;H179,'C30规则'!$I$5:$I$9,"&lt;="&amp;I179,'C30规则'!$J$5:$J$9,"&gt;="&amp;I179,'C30规则'!$K$5:$K$9,"&lt;="&amp;J179,'C30规则'!$L$5:$L$9,"&gt;="&amp;J179)=1,"通过","检查")</x:f>
        <x:v>通过</x:v>
      </x:c>
      <x:c r="O179" s="29" t="str">
        <x:v>RULE_DERIVED</x:v>
      </x:c>
    </x:row>
    <x:row r="180">
      <x:c r="A180" s="29" t="str">
        <x:v>C30-20260815-006</x:v>
      </x:c>
      <x:c r="B180" s="32" t="n">
        <x:v>46249.50347222222</x:v>
      </x:c>
      <x:c r="C180" s="29" t="str">
        <x:v>C30</x:v>
      </x:c>
      <x:c r="D180" s="29" t="str">
        <x:v>DRY_SEVERE</x:v>
      </x:c>
      <x:c r="E180" s="35" t="n">
        <x:v>78.5</x:v>
      </x:c>
      <x:c r="F180" s="41" t="str">
        <x:v>干涩，结块，挂壁，流动性极差，无法泵送</x:v>
      </x:c>
      <x:c r="G180" s="38" t="n">
        <x:v>-57</x:v>
      </x:c>
      <x:c r="H180" s="38" t="n">
        <x:v>123</x:v>
      </x:c>
      <x:c r="I180" s="38" t="n">
        <x:v>457</x:v>
      </x:c>
      <x:c r="J180" s="35" t="n">
        <x:v>6.8</x:v>
      </x:c>
      <x:c r="K180" s="29" t="str">
        <x:v>不合格</x:v>
      </x:c>
      <x:c r="L180" s="41" t="str">
        <x:v>优先补加0.2%减水剂和5kg清水，搅拌60s后复测。</x:v>
      </x:c>
      <x:c r="M180" s="29" t="str">
        <x:v>是</x:v>
      </x:c>
      <x:c r="N180" s="29" t="str">
        <x:f>IF(COUNTIFS('C30规则'!$A$5:$A$9,D180,'C30规则'!$C$5:$C$9,"&lt;="&amp;E180,'C30规则'!$D$5:$D$9,"&gt;="&amp;E180,'C30规则'!$E$5:$E$9,"&lt;="&amp;G180,'C30规则'!$F$5:$F$9,"&gt;="&amp;G180,'C30规则'!$G$5:$G$9,"&lt;="&amp;H180,'C30规则'!$H$5:$H$9,"&gt;="&amp;H180,'C30规则'!$I$5:$I$9,"&lt;="&amp;I180,'C30规则'!$J$5:$J$9,"&gt;="&amp;I180,'C30规则'!$K$5:$K$9,"&lt;="&amp;J180,'C30规则'!$L$5:$L$9,"&gt;="&amp;J180)=1,"通过","检查")</x:f>
        <x:v>通过</x:v>
      </x:c>
      <x:c r="O180" s="29" t="str">
        <x:v>RULE_DERIVED</x:v>
      </x:c>
    </x:row>
    <x:row r="181">
      <x:c r="A181" s="29" t="str">
        <x:v>C30-20260815-007</x:v>
      </x:c>
      <x:c r="B181" s="32" t="n">
        <x:v>46249.53402777778</x:v>
      </x:c>
      <x:c r="C181" s="29" t="str">
        <x:v>C30</x:v>
      </x:c>
      <x:c r="D181" s="29" t="str">
        <x:v>NORMAL</x:v>
      </x:c>
      <x:c r="E181" s="35" t="n">
        <x:v>56.8</x:v>
      </x:c>
      <x:c r="F181" s="41" t="str">
        <x:v>稠度适中，包裹性好，不泌水，不结块，泵送顺畅</x:v>
      </x:c>
      <x:c r="G181" s="38" t="n">
        <x:v>7</x:v>
      </x:c>
      <x:c r="H181" s="38" t="n">
        <x:v>187</x:v>
      </x:c>
      <x:c r="I181" s="38" t="n">
        <x:v>553</x:v>
      </x:c>
      <x:c r="J181" s="35" t="n">
        <x:v>3.1</x:v>
      </x:c>
      <x:c r="K181" s="29" t="str">
        <x:v>合格</x:v>
      </x:c>
      <x:c r="L181" s="41" t="str">
        <x:v>终止搅拌，直接出料；同步记录台账，留存实测参数备查。</x:v>
      </x:c>
      <x:c r="M181" s="29" t="str">
        <x:v>否</x:v>
      </x:c>
      <x:c r="N181" s="29" t="str">
        <x:f>IF(COUNTIFS('C30规则'!$A$5:$A$9,D181,'C30规则'!$C$5:$C$9,"&lt;="&amp;E181,'C30规则'!$D$5:$D$9,"&gt;="&amp;E181,'C30规则'!$E$5:$E$9,"&lt;="&amp;G181,'C30规则'!$F$5:$F$9,"&gt;="&amp;G181,'C30规则'!$G$5:$G$9,"&lt;="&amp;H181,'C30规则'!$H$5:$H$9,"&gt;="&amp;H181,'C30规则'!$I$5:$I$9,"&lt;="&amp;I181,'C30规则'!$J$5:$J$9,"&gt;="&amp;I181,'C30规则'!$K$5:$K$9,"&lt;="&amp;J181,'C30规则'!$L$5:$L$9,"&gt;="&amp;J181)=1,"通过","检查")</x:f>
        <x:v>通过</x:v>
      </x:c>
      <x:c r="O181" s="29" t="str">
        <x:v>RULE_DERIVED</x:v>
      </x:c>
    </x:row>
    <x:row r="182">
      <x:c r="A182" s="29" t="str">
        <x:v>C30-20260815-008</x:v>
      </x:c>
      <x:c r="B182" s="32" t="n">
        <x:v>46249.56736111111</x:v>
      </x:c>
      <x:c r="C182" s="29" t="str">
        <x:v>C30</x:v>
      </x:c>
      <x:c r="D182" s="29" t="str">
        <x:v>DRY_MILD</x:v>
      </x:c>
      <x:c r="E182" s="35" t="n">
        <x:v>65.9</x:v>
      </x:c>
      <x:c r="F182" s="41" t="str">
        <x:v>偏干，骨料微裸露，流动性偏弱</x:v>
      </x:c>
      <x:c r="G182" s="38" t="n">
        <x:v>-24</x:v>
      </x:c>
      <x:c r="H182" s="38" t="n">
        <x:v>156</x:v>
      </x:c>
      <x:c r="I182" s="38" t="n">
        <x:v>512</x:v>
      </x:c>
      <x:c r="J182" s="35" t="n">
        <x:v>5.1</x:v>
      </x:c>
      <x:c r="K182" s="29" t="str">
        <x:v>轻微异常</x:v>
      </x:c>
      <x:c r="L182" s="41" t="str">
        <x:v>优先增加聚羧酸减水剂掺量0.1%，搅拌30s后复测，达标后出料。</x:v>
      </x:c>
      <x:c r="M182" s="29" t="str">
        <x:v>是</x:v>
      </x:c>
      <x:c r="N182" s="29" t="str">
        <x:f>IF(COUNTIFS('C30规则'!$A$5:$A$9,D182,'C30规则'!$C$5:$C$9,"&lt;="&amp;E182,'C30规则'!$D$5:$D$9,"&gt;="&amp;E182,'C30规则'!$E$5:$E$9,"&lt;="&amp;G182,'C30规则'!$F$5:$F$9,"&gt;="&amp;G182,'C30规则'!$G$5:$G$9,"&lt;="&amp;H182,'C30规则'!$H$5:$H$9,"&gt;="&amp;H182,'C30规则'!$I$5:$I$9,"&lt;="&amp;I182,'C30规则'!$J$5:$J$9,"&gt;="&amp;I182,'C30规则'!$K$5:$K$9,"&lt;="&amp;J182,'C30规则'!$L$5:$L$9,"&gt;="&amp;J182)=1,"通过","检查")</x:f>
        <x:v>通过</x:v>
      </x:c>
      <x:c r="O182" s="29" t="str">
        <x:v>RULE_DERIVED</x:v>
      </x:c>
    </x:row>
    <x:row r="183">
      <x:c r="A183" s="29" t="str">
        <x:v>C30-20260815-009</x:v>
      </x:c>
      <x:c r="B183" s="32" t="n">
        <x:v>46249.60277777778</x:v>
      </x:c>
      <x:c r="C183" s="29" t="str">
        <x:v>C30</x:v>
      </x:c>
      <x:c r="D183" s="29" t="str">
        <x:v>WET_SEVERE</x:v>
      </x:c>
      <x:c r="E183" s="35" t="n">
        <x:v>47.9</x:v>
      </x:c>
      <x:c r="F183" s="41" t="str">
        <x:v>过稀，泌水，离析，骨料下沉，存在堵泵风险</x:v>
      </x:c>
      <x:c r="G183" s="38" t="n">
        <x:v>43</x:v>
      </x:c>
      <x:c r="H183" s="38" t="n">
        <x:v>223</x:v>
      </x:c>
      <x:c r="I183" s="38" t="n">
        <x:v>629</x:v>
      </x:c>
      <x:c r="J183" s="35" t="n">
        <x:v>1.7</x:v>
      </x:c>
      <x:c r="K183" s="29" t="str">
        <x:v>不合格</x:v>
      </x:c>
      <x:c r="L183" s="41" t="str">
        <x:v>立即暂停出料；加入10–12kg/m³干砂和3–5kg/m³水泥，搅拌60s后复测；仍离析则废弃并排查计量系统。</x:v>
      </x:c>
      <x:c r="M183" s="29" t="str">
        <x:v>是</x:v>
      </x:c>
      <x:c r="N183" s="29" t="str">
        <x:f>IF(COUNTIFS('C30规则'!$A$5:$A$9,D183,'C30规则'!$C$5:$C$9,"&lt;="&amp;E183,'C30规则'!$D$5:$D$9,"&gt;="&amp;E183,'C30规则'!$E$5:$E$9,"&lt;="&amp;G183,'C30规则'!$F$5:$F$9,"&gt;="&amp;G183,'C30规则'!$G$5:$G$9,"&lt;="&amp;H183,'C30规则'!$H$5:$H$9,"&gt;="&amp;H183,'C30规则'!$I$5:$I$9,"&lt;="&amp;I183,'C30规则'!$J$5:$J$9,"&gt;="&amp;I183,'C30规则'!$K$5:$K$9,"&lt;="&amp;J183,'C30规则'!$L$5:$L$9,"&gt;="&amp;J183)=1,"通过","检查")</x:f>
        <x:v>通过</x:v>
      </x:c>
      <x:c r="O183" s="29" t="str">
        <x:v>RULE_DERIVED</x:v>
      </x:c>
    </x:row>
    <x:row r="184">
      <x:c r="A184" s="29" t="str">
        <x:v>C30-20260815-010</x:v>
      </x:c>
      <x:c r="B184" s="32" t="n">
        <x:v>46249.63680555556</x:v>
      </x:c>
      <x:c r="C184" s="29" t="str">
        <x:v>C30</x:v>
      </x:c>
      <x:c r="D184" s="29" t="str">
        <x:v>NORMAL</x:v>
      </x:c>
      <x:c r="E184" s="35" t="n">
        <x:v>57.4</x:v>
      </x:c>
      <x:c r="F184" s="41" t="str">
        <x:v>稠度适中，包裹性好，不泌水，不结块，泵送顺畅</x:v>
      </x:c>
      <x:c r="G184" s="38" t="n">
        <x:v>0</x:v>
      </x:c>
      <x:c r="H184" s="38" t="n">
        <x:v>180</x:v>
      </x:c>
      <x:c r="I184" s="38" t="n">
        <x:v>547</x:v>
      </x:c>
      <x:c r="J184" s="35" t="n">
        <x:v>3.6</x:v>
      </x:c>
      <x:c r="K184" s="29" t="str">
        <x:v>合格</x:v>
      </x:c>
      <x:c r="L184" s="41" t="str">
        <x:v>终止搅拌，直接出料；同步记录台账，留存实测参数备查。</x:v>
      </x:c>
      <x:c r="M184" s="29" t="str">
        <x:v>否</x:v>
      </x:c>
      <x:c r="N184" s="29" t="str">
        <x:f>IF(COUNTIFS('C30规则'!$A$5:$A$9,D184,'C30规则'!$C$5:$C$9,"&lt;="&amp;E184,'C30规则'!$D$5:$D$9,"&gt;="&amp;E184,'C30规则'!$E$5:$E$9,"&lt;="&amp;G184,'C30规则'!$F$5:$F$9,"&gt;="&amp;G184,'C30规则'!$G$5:$G$9,"&lt;="&amp;H184,'C30规则'!$H$5:$H$9,"&gt;="&amp;H184,'C30规则'!$I$5:$I$9,"&lt;="&amp;I184,'C30规则'!$J$5:$J$9,"&gt;="&amp;I184,'C30规则'!$K$5:$K$9,"&lt;="&amp;J184,'C30规则'!$L$5:$L$9,"&gt;="&amp;J184)=1,"通过","检查")</x:f>
        <x:v>通过</x:v>
      </x:c>
      <x:c r="O184" s="29" t="str">
        <x:v>RULE_DERIVED</x:v>
      </x:c>
    </x:row>
    <x:row r="185">
      <x:c r="A185" s="29" t="str">
        <x:v>C30-20260816-001</x:v>
      </x:c>
      <x:c r="B185" s="32" t="n">
        <x:v>46250.333333333336</x:v>
      </x:c>
      <x:c r="C185" s="29" t="str">
        <x:v>C30</x:v>
      </x:c>
      <x:c r="D185" s="29" t="str">
        <x:v>NORMAL</x:v>
      </x:c>
      <x:c r="E185" s="35" t="n">
        <x:v>56.7</x:v>
      </x:c>
      <x:c r="F185" s="41" t="str">
        <x:v>稠度适中，包裹性好，不泌水，不结块，泵送顺畅</x:v>
      </x:c>
      <x:c r="G185" s="38" t="n">
        <x:v>5</x:v>
      </x:c>
      <x:c r="H185" s="38" t="n">
        <x:v>185</x:v>
      </x:c>
      <x:c r="I185" s="38" t="n">
        <x:v>561</x:v>
      </x:c>
      <x:c r="J185" s="35" t="n">
        <x:v>3.1</x:v>
      </x:c>
      <x:c r="K185" s="29" t="str">
        <x:v>合格</x:v>
      </x:c>
      <x:c r="L185" s="41" t="str">
        <x:v>终止搅拌，直接出料；同步记录台账，留存实测参数备查。</x:v>
      </x:c>
      <x:c r="M185" s="29" t="str">
        <x:v>否</x:v>
      </x:c>
      <x:c r="N185" s="29" t="str">
        <x:f>IF(COUNTIFS('C30规则'!$A$5:$A$9,D185,'C30规则'!$C$5:$C$9,"&lt;="&amp;E185,'C30规则'!$D$5:$D$9,"&gt;="&amp;E185,'C30规则'!$E$5:$E$9,"&lt;="&amp;G185,'C30规则'!$F$5:$F$9,"&gt;="&amp;G185,'C30规则'!$G$5:$G$9,"&lt;="&amp;H185,'C30规则'!$H$5:$H$9,"&gt;="&amp;H185,'C30规则'!$I$5:$I$9,"&lt;="&amp;I185,'C30规则'!$J$5:$J$9,"&gt;="&amp;I185,'C30规则'!$K$5:$K$9,"&lt;="&amp;J185,'C30规则'!$L$5:$L$9,"&gt;="&amp;J185)=1,"通过","检查")</x:f>
        <x:v>通过</x:v>
      </x:c>
      <x:c r="O185" s="29" t="str">
        <x:v>RULE_DERIVED</x:v>
      </x:c>
    </x:row>
    <x:row r="186">
      <x:c r="A186" s="29" t="str">
        <x:v>C30-20260816-002</x:v>
      </x:c>
      <x:c r="B186" s="32" t="n">
        <x:v>46250.370833333334</x:v>
      </x:c>
      <x:c r="C186" s="29" t="str">
        <x:v>C30</x:v>
      </x:c>
      <x:c r="D186" s="29" t="str">
        <x:v>DRY_MILD</x:v>
      </x:c>
      <x:c r="E186" s="35" t="n">
        <x:v>65.9</x:v>
      </x:c>
      <x:c r="F186" s="41" t="str">
        <x:v>偏干，骨料微裸露，流动性偏弱</x:v>
      </x:c>
      <x:c r="G186" s="38" t="n">
        <x:v>-25</x:v>
      </x:c>
      <x:c r="H186" s="38" t="n">
        <x:v>155</x:v>
      </x:c>
      <x:c r="I186" s="38" t="n">
        <x:v>506</x:v>
      </x:c>
      <x:c r="J186" s="35" t="n">
        <x:v>5.1</x:v>
      </x:c>
      <x:c r="K186" s="29" t="str">
        <x:v>轻微异常</x:v>
      </x:c>
      <x:c r="L186" s="41" t="str">
        <x:v>优先增加聚羧酸减水剂掺量0.1%，搅拌30s后复测，达标后出料。</x:v>
      </x:c>
      <x:c r="M186" s="29" t="str">
        <x:v>是</x:v>
      </x:c>
      <x:c r="N186" s="29" t="str">
        <x:f>IF(COUNTIFS('C30规则'!$A$5:$A$9,D186,'C30规则'!$C$5:$C$9,"&lt;="&amp;E186,'C30规则'!$D$5:$D$9,"&gt;="&amp;E186,'C30规则'!$E$5:$E$9,"&lt;="&amp;G186,'C30规则'!$F$5:$F$9,"&gt;="&amp;G186,'C30规则'!$G$5:$G$9,"&lt;="&amp;H186,'C30规则'!$H$5:$H$9,"&gt;="&amp;H186,'C30规则'!$I$5:$I$9,"&lt;="&amp;I186,'C30规则'!$J$5:$J$9,"&gt;="&amp;I186,'C30规则'!$K$5:$K$9,"&lt;="&amp;J186,'C30规则'!$L$5:$L$9,"&gt;="&amp;J186)=1,"通过","检查")</x:f>
        <x:v>通过</x:v>
      </x:c>
      <x:c r="O186" s="29" t="str">
        <x:v>RULE_DERIVED</x:v>
      </x:c>
    </x:row>
    <x:row r="187">
      <x:c r="A187" s="29" t="str">
        <x:v>C30-20260816-003</x:v>
      </x:c>
      <x:c r="B187" s="32" t="n">
        <x:v>46250.4</x:v>
      </x:c>
      <x:c r="C187" s="29" t="str">
        <x:v>C30</x:v>
      </x:c>
      <x:c r="D187" s="29" t="str">
        <x:v>NORMAL</x:v>
      </x:c>
      <x:c r="E187" s="35" t="n">
        <x:v>57.2</x:v>
      </x:c>
      <x:c r="F187" s="41" t="str">
        <x:v>稠度适中，包裹性好，不泌水，不结块，泵送顺畅</x:v>
      </x:c>
      <x:c r="G187" s="38" t="n">
        <x:v>0</x:v>
      </x:c>
      <x:c r="H187" s="38" t="n">
        <x:v>180</x:v>
      </x:c>
      <x:c r="I187" s="38" t="n">
        <x:v>556</x:v>
      </x:c>
      <x:c r="J187" s="35" t="n">
        <x:v>3.5</x:v>
      </x:c>
      <x:c r="K187" s="29" t="str">
        <x:v>合格</x:v>
      </x:c>
      <x:c r="L187" s="41" t="str">
        <x:v>终止搅拌，直接出料；同步记录台账，留存实测参数备查。</x:v>
      </x:c>
      <x:c r="M187" s="29" t="str">
        <x:v>否</x:v>
      </x:c>
      <x:c r="N187" s="29" t="str">
        <x:f>IF(COUNTIFS('C30规则'!$A$5:$A$9,D187,'C30规则'!$C$5:$C$9,"&lt;="&amp;E187,'C30规则'!$D$5:$D$9,"&gt;="&amp;E187,'C30规则'!$E$5:$E$9,"&lt;="&amp;G187,'C30规则'!$F$5:$F$9,"&gt;="&amp;G187,'C30规则'!$G$5:$G$9,"&lt;="&amp;H187,'C30规则'!$H$5:$H$9,"&gt;="&amp;H187,'C30规则'!$I$5:$I$9,"&lt;="&amp;I187,'C30规则'!$J$5:$J$9,"&gt;="&amp;I187,'C30规则'!$K$5:$K$9,"&lt;="&amp;J187,'C30规则'!$L$5:$L$9,"&gt;="&amp;J187)=1,"通过","检查")</x:f>
        <x:v>通过</x:v>
      </x:c>
      <x:c r="O187" s="29" t="str">
        <x:v>RULE_DERIVED</x:v>
      </x:c>
    </x:row>
    <x:row r="188">
      <x:c r="A188" s="29" t="str">
        <x:v>C30-20260816-004</x:v>
      </x:c>
      <x:c r="B188" s="32" t="n">
        <x:v>46250.43472222222</x:v>
      </x:c>
      <x:c r="C188" s="29" t="str">
        <x:v>C30</x:v>
      </x:c>
      <x:c r="D188" s="29" t="str">
        <x:v>NORMAL</x:v>
      </x:c>
      <x:c r="E188" s="35" t="n">
        <x:v>56</x:v>
      </x:c>
      <x:c r="F188" s="41" t="str">
        <x:v>稠度适中，包裹性好，不泌水，不结块，泵送顺畅</x:v>
      </x:c>
      <x:c r="G188" s="38" t="n">
        <x:v>12</x:v>
      </x:c>
      <x:c r="H188" s="38" t="n">
        <x:v>192</x:v>
      </x:c>
      <x:c r="I188" s="38" t="n">
        <x:v>559</x:v>
      </x:c>
      <x:c r="J188" s="35" t="n">
        <x:v>3</x:v>
      </x:c>
      <x:c r="K188" s="29" t="str">
        <x:v>合格</x:v>
      </x:c>
      <x:c r="L188" s="41" t="str">
        <x:v>终止搅拌，直接出料；同步记录台账，留存实测参数备查。</x:v>
      </x:c>
      <x:c r="M188" s="29" t="str">
        <x:v>否</x:v>
      </x:c>
      <x:c r="N188" s="29" t="str">
        <x:f>IF(COUNTIFS('C30规则'!$A$5:$A$9,D188,'C30规则'!$C$5:$C$9,"&lt;="&amp;E188,'C30规则'!$D$5:$D$9,"&gt;="&amp;E188,'C30规则'!$E$5:$E$9,"&lt;="&amp;G188,'C30规则'!$F$5:$F$9,"&gt;="&amp;G188,'C30规则'!$G$5:$G$9,"&lt;="&amp;H188,'C30规则'!$H$5:$H$9,"&gt;="&amp;H188,'C30规则'!$I$5:$I$9,"&lt;="&amp;I188,'C30规则'!$J$5:$J$9,"&gt;="&amp;I188,'C30规则'!$K$5:$K$9,"&lt;="&amp;J188,'C30规则'!$L$5:$L$9,"&gt;="&amp;J188)=1,"通过","检查")</x:f>
        <x:v>通过</x:v>
      </x:c>
      <x:c r="O188" s="29" t="str">
        <x:v>RULE_DERIVED</x:v>
      </x:c>
    </x:row>
    <x:row r="189">
      <x:c r="A189" s="29" t="str">
        <x:v>C30-20260816-005</x:v>
      </x:c>
      <x:c r="B189" s="32" t="n">
        <x:v>46250.46944444445</x:v>
      </x:c>
      <x:c r="C189" s="29" t="str">
        <x:v>C30</x:v>
      </x:c>
      <x:c r="D189" s="29" t="str">
        <x:v>WET_SEVERE</x:v>
      </x:c>
      <x:c r="E189" s="35" t="n">
        <x:v>43.4</x:v>
      </x:c>
      <x:c r="F189" s="41" t="str">
        <x:v>过稀，泌水，离析，骨料下沉，存在堵泵风险</x:v>
      </x:c>
      <x:c r="G189" s="38" t="n">
        <x:v>51</x:v>
      </x:c>
      <x:c r="H189" s="38" t="n">
        <x:v>231</x:v>
      </x:c>
      <x:c r="I189" s="38" t="n">
        <x:v>640</x:v>
      </x:c>
      <x:c r="J189" s="35" t="n">
        <x:v>1.2</x:v>
      </x:c>
      <x:c r="K189" s="29" t="str">
        <x:v>不合格</x:v>
      </x:c>
      <x:c r="L189" s="41" t="str">
        <x:v>立即暂停出料；加入10–12kg/m³干砂和3–5kg/m³水泥，搅拌60s后复测；仍离析则废弃并排查计量系统。</x:v>
      </x:c>
      <x:c r="M189" s="29" t="str">
        <x:v>是</x:v>
      </x:c>
      <x:c r="N189" s="29" t="str">
        <x:f>IF(COUNTIFS('C30规则'!$A$5:$A$9,D189,'C30规则'!$C$5:$C$9,"&lt;="&amp;E189,'C30规则'!$D$5:$D$9,"&gt;="&amp;E189,'C30规则'!$E$5:$E$9,"&lt;="&amp;G189,'C30规则'!$F$5:$F$9,"&gt;="&amp;G189,'C30规则'!$G$5:$G$9,"&lt;="&amp;H189,'C30规则'!$H$5:$H$9,"&gt;="&amp;H189,'C30规则'!$I$5:$I$9,"&lt;="&amp;I189,'C30规则'!$J$5:$J$9,"&gt;="&amp;I189,'C30规则'!$K$5:$K$9,"&lt;="&amp;J189,'C30规则'!$L$5:$L$9,"&gt;="&amp;J189)=1,"通过","检查")</x:f>
        <x:v>通过</x:v>
      </x:c>
      <x:c r="O189" s="29" t="str">
        <x:v>RULE_DERIVED</x:v>
      </x:c>
    </x:row>
    <x:row r="190">
      <x:c r="A190" s="29" t="str">
        <x:v>C30-20260816-006</x:v>
      </x:c>
      <x:c r="B190" s="32" t="n">
        <x:v>46250.50347222222</x:v>
      </x:c>
      <x:c r="C190" s="29" t="str">
        <x:v>C30</x:v>
      </x:c>
      <x:c r="D190" s="29" t="str">
        <x:v>NORMAL</x:v>
      </x:c>
      <x:c r="E190" s="35" t="n">
        <x:v>58.2</x:v>
      </x:c>
      <x:c r="F190" s="41" t="str">
        <x:v>稠度适中，包裹性好，不泌水，不结块，泵送顺畅</x:v>
      </x:c>
      <x:c r="G190" s="38" t="n">
        <x:v>-7</x:v>
      </x:c>
      <x:c r="H190" s="38" t="n">
        <x:v>173</x:v>
      </x:c>
      <x:c r="I190" s="38" t="n">
        <x:v>538</x:v>
      </x:c>
      <x:c r="J190" s="35" t="n">
        <x:v>3.7</x:v>
      </x:c>
      <x:c r="K190" s="29" t="str">
        <x:v>合格</x:v>
      </x:c>
      <x:c r="L190" s="41" t="str">
        <x:v>终止搅拌，直接出料；同步记录台账，留存实测参数备查。</x:v>
      </x:c>
      <x:c r="M190" s="29" t="str">
        <x:v>否</x:v>
      </x:c>
      <x:c r="N190" s="29" t="str">
        <x:f>IF(COUNTIFS('C30规则'!$A$5:$A$9,D190,'C30规则'!$C$5:$C$9,"&lt;="&amp;E190,'C30规则'!$D$5:$D$9,"&gt;="&amp;E190,'C30规则'!$E$5:$E$9,"&lt;="&amp;G190,'C30规则'!$F$5:$F$9,"&gt;="&amp;G190,'C30规则'!$G$5:$G$9,"&lt;="&amp;H190,'C30规则'!$H$5:$H$9,"&gt;="&amp;H190,'C30规则'!$I$5:$I$9,"&lt;="&amp;I190,'C30规则'!$J$5:$J$9,"&gt;="&amp;I190,'C30规则'!$K$5:$K$9,"&lt;="&amp;J190,'C30规则'!$L$5:$L$9,"&gt;="&amp;J190)=1,"通过","检查")</x:f>
        <x:v>通过</x:v>
      </x:c>
      <x:c r="O190" s="29" t="str">
        <x:v>RULE_DERIVED</x:v>
      </x:c>
    </x:row>
    <x:row r="191">
      <x:c r="A191" s="29" t="str">
        <x:v>C30-20260816-007</x:v>
      </x:c>
      <x:c r="B191" s="32" t="n">
        <x:v>46250.538194444445</x:v>
      </x:c>
      <x:c r="C191" s="29" t="str">
        <x:v>C30</x:v>
      </x:c>
      <x:c r="D191" s="29" t="str">
        <x:v>WET_MILD</x:v>
      </x:c>
      <x:c r="E191" s="35" t="n">
        <x:v>54</x:v>
      </x:c>
      <x:c r="F191" s="41" t="str">
        <x:v>偏稀，流动性偏大，无泌水</x:v>
      </x:c>
      <x:c r="G191" s="38" t="n">
        <x:v>20</x:v>
      </x:c>
      <x:c r="H191" s="38" t="n">
        <x:v>200</x:v>
      </x:c>
      <x:c r="I191" s="38" t="n">
        <x:v>586</x:v>
      </x:c>
      <x:c r="J191" s="35" t="n">
        <x:v>2.4</x:v>
      </x:c>
      <x:c r="K191" s="29" t="str">
        <x:v>轻微异常</x:v>
      </x:c>
      <x:c r="L191" s="41" t="str">
        <x:v>加入5–8kg/m³干砂，搅拌30s后复测，达标后正常出料并观察泵送。</x:v>
      </x:c>
      <x:c r="M191" s="29" t="str">
        <x:v>是</x:v>
      </x:c>
      <x:c r="N191" s="29" t="str">
        <x:f>IF(COUNTIFS('C30规则'!$A$5:$A$9,D191,'C30规则'!$C$5:$C$9,"&lt;="&amp;E191,'C30规则'!$D$5:$D$9,"&gt;="&amp;E191,'C30规则'!$E$5:$E$9,"&lt;="&amp;G191,'C30规则'!$F$5:$F$9,"&gt;="&amp;G191,'C30规则'!$G$5:$G$9,"&lt;="&amp;H191,'C30规则'!$H$5:$H$9,"&gt;="&amp;H191,'C30规则'!$I$5:$I$9,"&lt;="&amp;I191,'C30规则'!$J$5:$J$9,"&gt;="&amp;I191,'C30规则'!$K$5:$K$9,"&lt;="&amp;J191,'C30规则'!$L$5:$L$9,"&gt;="&amp;J191)=1,"通过","检查")</x:f>
        <x:v>通过</x:v>
      </x:c>
      <x:c r="O191" s="29" t="str">
        <x:v>RULE_DERIVED</x:v>
      </x:c>
    </x:row>
    <x:row r="192">
      <x:c r="A192" s="29" t="str">
        <x:v>C30-20260816-008</x:v>
      </x:c>
      <x:c r="B192" s="32" t="n">
        <x:v>46250.57083333333</x:v>
      </x:c>
      <x:c r="C192" s="29" t="str">
        <x:v>C30</x:v>
      </x:c>
      <x:c r="D192" s="29" t="str">
        <x:v>NORMAL</x:v>
      </x:c>
      <x:c r="E192" s="35" t="n">
        <x:v>59.5</x:v>
      </x:c>
      <x:c r="F192" s="41" t="str">
        <x:v>稠度适中，包裹性好，不泌水，不结块，泵送顺畅</x:v>
      </x:c>
      <x:c r="G192" s="38" t="n">
        <x:v>-16</x:v>
      </x:c>
      <x:c r="H192" s="38" t="n">
        <x:v>164</x:v>
      </x:c>
      <x:c r="I192" s="38" t="n">
        <x:v>538</x:v>
      </x:c>
      <x:c r="J192" s="35" t="n">
        <x:v>4.4</x:v>
      </x:c>
      <x:c r="K192" s="29" t="str">
        <x:v>合格</x:v>
      </x:c>
      <x:c r="L192" s="41" t="str">
        <x:v>终止搅拌，直接出料；同步记录台账，留存实测参数备查。</x:v>
      </x:c>
      <x:c r="M192" s="29" t="str">
        <x:v>否</x:v>
      </x:c>
      <x:c r="N192" s="29" t="str">
        <x:f>IF(COUNTIFS('C30规则'!$A$5:$A$9,D192,'C30规则'!$C$5:$C$9,"&lt;="&amp;E192,'C30规则'!$D$5:$D$9,"&gt;="&amp;E192,'C30规则'!$E$5:$E$9,"&lt;="&amp;G192,'C30规则'!$F$5:$F$9,"&gt;="&amp;G192,'C30规则'!$G$5:$G$9,"&lt;="&amp;H192,'C30规则'!$H$5:$H$9,"&gt;="&amp;H192,'C30规则'!$I$5:$I$9,"&lt;="&amp;I192,'C30规则'!$J$5:$J$9,"&gt;="&amp;I192,'C30规则'!$K$5:$K$9,"&lt;="&amp;J192,'C30规则'!$L$5:$L$9,"&gt;="&amp;J192)=1,"通过","检查")</x:f>
        <x:v>通过</x:v>
      </x:c>
      <x:c r="O192" s="29" t="str">
        <x:v>RULE_DERIVED</x:v>
      </x:c>
    </x:row>
    <x:row r="193">
      <x:c r="A193" s="29" t="str">
        <x:v>C30-20260816-009</x:v>
      </x:c>
      <x:c r="B193" s="32" t="n">
        <x:v>46250.603472222225</x:v>
      </x:c>
      <x:c r="C193" s="29" t="str">
        <x:v>C30</x:v>
      </x:c>
      <x:c r="D193" s="29" t="str">
        <x:v>NORMAL</x:v>
      </x:c>
      <x:c r="E193" s="35" t="n">
        <x:v>55.8</x:v>
      </x:c>
      <x:c r="F193" s="41" t="str">
        <x:v>稠度适中，包裹性好，不泌水，不结块，泵送顺畅</x:v>
      </x:c>
      <x:c r="G193" s="38" t="n">
        <x:v>13</x:v>
      </x:c>
      <x:c r="H193" s="38" t="n">
        <x:v>193</x:v>
      </x:c>
      <x:c r="I193" s="38" t="n">
        <x:v>561</x:v>
      </x:c>
      <x:c r="J193" s="35" t="n">
        <x:v>2.8</x:v>
      </x:c>
      <x:c r="K193" s="29" t="str">
        <x:v>合格</x:v>
      </x:c>
      <x:c r="L193" s="41" t="str">
        <x:v>终止搅拌，直接出料；同步记录台账，留存实测参数备查。</x:v>
      </x:c>
      <x:c r="M193" s="29" t="str">
        <x:v>否</x:v>
      </x:c>
      <x:c r="N193" s="29" t="str">
        <x:f>IF(COUNTIFS('C30规则'!$A$5:$A$9,D193,'C30规则'!$C$5:$C$9,"&lt;="&amp;E193,'C30规则'!$D$5:$D$9,"&gt;="&amp;E193,'C30规则'!$E$5:$E$9,"&lt;="&amp;G193,'C30规则'!$F$5:$F$9,"&gt;="&amp;G193,'C30规则'!$G$5:$G$9,"&lt;="&amp;H193,'C30规则'!$H$5:$H$9,"&gt;="&amp;H193,'C30规则'!$I$5:$I$9,"&lt;="&amp;I193,'C30规则'!$J$5:$J$9,"&gt;="&amp;I193,'C30规则'!$K$5:$K$9,"&lt;="&amp;J193,'C30规则'!$L$5:$L$9,"&gt;="&amp;J193)=1,"通过","检查")</x:f>
        <x:v>通过</x:v>
      </x:c>
      <x:c r="O193" s="29" t="str">
        <x:v>RULE_DERIVED</x:v>
      </x:c>
    </x:row>
    <x:row r="194">
      <x:c r="A194" s="29" t="str">
        <x:v>C30-20260816-010</x:v>
      </x:c>
      <x:c r="B194" s="32" t="n">
        <x:v>46250.6375</x:v>
      </x:c>
      <x:c r="C194" s="29" t="str">
        <x:v>C30</x:v>
      </x:c>
      <x:c r="D194" s="29" t="str">
        <x:v>WET_MILD</x:v>
      </x:c>
      <x:c r="E194" s="35" t="n">
        <x:v>48</x:v>
      </x:c>
      <x:c r="F194" s="41" t="str">
        <x:v>偏稀，流动性偏大，无泌水</x:v>
      </x:c>
      <x:c r="G194" s="38" t="n">
        <x:v>24</x:v>
      </x:c>
      <x:c r="H194" s="38" t="n">
        <x:v>204</x:v>
      </x:c>
      <x:c r="I194" s="38" t="n">
        <x:v>597</x:v>
      </x:c>
      <x:c r="J194" s="35" t="n">
        <x:v>2</x:v>
      </x:c>
      <x:c r="K194" s="29" t="str">
        <x:v>轻微异常</x:v>
      </x:c>
      <x:c r="L194" s="41" t="str">
        <x:v>加入5–8kg/m³干砂，搅拌30s后复测，达标后正常出料并观察泵送。</x:v>
      </x:c>
      <x:c r="M194" s="29" t="str">
        <x:v>是</x:v>
      </x:c>
      <x:c r="N194" s="29" t="str">
        <x:f>IF(COUNTIFS('C30规则'!$A$5:$A$9,D194,'C30规则'!$C$5:$C$9,"&lt;="&amp;E194,'C30规则'!$D$5:$D$9,"&gt;="&amp;E194,'C30规则'!$E$5:$E$9,"&lt;="&amp;G194,'C30规则'!$F$5:$F$9,"&gt;="&amp;G194,'C30规则'!$G$5:$G$9,"&lt;="&amp;H194,'C30规则'!$H$5:$H$9,"&gt;="&amp;H194,'C30规则'!$I$5:$I$9,"&lt;="&amp;I194,'C30规则'!$J$5:$J$9,"&gt;="&amp;I194,'C30规则'!$K$5:$K$9,"&lt;="&amp;J194,'C30规则'!$L$5:$L$9,"&gt;="&amp;J194)=1,"通过","检查")</x:f>
        <x:v>通过</x:v>
      </x:c>
      <x:c r="O194" s="29" t="str">
        <x:v>RULE_DERIVED</x:v>
      </x:c>
    </x:row>
    <x:row r="195">
      <x:c r="A195" s="29" t="str">
        <x:v>C30-20260817-001</x:v>
      </x:c>
      <x:c r="B195" s="32" t="n">
        <x:v>46251.3375</x:v>
      </x:c>
      <x:c r="C195" s="29" t="str">
        <x:v>C30</x:v>
      </x:c>
      <x:c r="D195" s="29" t="str">
        <x:v>NORMAL</x:v>
      </x:c>
      <x:c r="E195" s="35" t="n">
        <x:v>56.1</x:v>
      </x:c>
      <x:c r="F195" s="41" t="str">
        <x:v>稠度适中，包裹性好，不泌水，不结块，泵送顺畅</x:v>
      </x:c>
      <x:c r="G195" s="38" t="n">
        <x:v>10</x:v>
      </x:c>
      <x:c r="H195" s="38" t="n">
        <x:v>190</x:v>
      </x:c>
      <x:c r="I195" s="38" t="n">
        <x:v>565</x:v>
      </x:c>
      <x:c r="J195" s="35" t="n">
        <x:v>3</x:v>
      </x:c>
      <x:c r="K195" s="29" t="str">
        <x:v>合格</x:v>
      </x:c>
      <x:c r="L195" s="41" t="str">
        <x:v>终止搅拌，直接出料；同步记录台账，留存实测参数备查。</x:v>
      </x:c>
      <x:c r="M195" s="29" t="str">
        <x:v>否</x:v>
      </x:c>
      <x:c r="N195" s="29" t="str">
        <x:f>IF(COUNTIFS('C30规则'!$A$5:$A$9,D195,'C30规则'!$C$5:$C$9,"&lt;="&amp;E195,'C30规则'!$D$5:$D$9,"&gt;="&amp;E195,'C30规则'!$E$5:$E$9,"&lt;="&amp;G195,'C30规则'!$F$5:$F$9,"&gt;="&amp;G195,'C30规则'!$G$5:$G$9,"&lt;="&amp;H195,'C30规则'!$H$5:$H$9,"&gt;="&amp;H195,'C30规则'!$I$5:$I$9,"&lt;="&amp;I195,'C30规则'!$J$5:$J$9,"&gt;="&amp;I195,'C30规则'!$K$5:$K$9,"&lt;="&amp;J195,'C30规则'!$L$5:$L$9,"&gt;="&amp;J195)=1,"通过","检查")</x:f>
        <x:v>通过</x:v>
      </x:c>
      <x:c r="O195" s="29" t="str">
        <x:v>RULE_DERIVED</x:v>
      </x:c>
    </x:row>
    <x:row r="196">
      <x:c r="A196" s="29" t="str">
        <x:v>C30-20260817-002</x:v>
      </x:c>
      <x:c r="B196" s="32" t="n">
        <x:v>46251.37152777778</x:v>
      </x:c>
      <x:c r="C196" s="29" t="str">
        <x:v>C30</x:v>
      </x:c>
      <x:c r="D196" s="29" t="str">
        <x:v>NORMAL</x:v>
      </x:c>
      <x:c r="E196" s="35" t="n">
        <x:v>58.2</x:v>
      </x:c>
      <x:c r="F196" s="41" t="str">
        <x:v>稠度适中，包裹性好，不泌水，不结块，泵送顺畅</x:v>
      </x:c>
      <x:c r="G196" s="38" t="n">
        <x:v>-7</x:v>
      </x:c>
      <x:c r="H196" s="38" t="n">
        <x:v>173</x:v>
      </x:c>
      <x:c r="I196" s="38" t="n">
        <x:v>549</x:v>
      </x:c>
      <x:c r="J196" s="35" t="n">
        <x:v>3.8</x:v>
      </x:c>
      <x:c r="K196" s="29" t="str">
        <x:v>合格</x:v>
      </x:c>
      <x:c r="L196" s="41" t="str">
        <x:v>终止搅拌，直接出料；同步记录台账，留存实测参数备查。</x:v>
      </x:c>
      <x:c r="M196" s="29" t="str">
        <x:v>否</x:v>
      </x:c>
      <x:c r="N196" s="29" t="str">
        <x:f>IF(COUNTIFS('C30规则'!$A$5:$A$9,D196,'C30规则'!$C$5:$C$9,"&lt;="&amp;E196,'C30规则'!$D$5:$D$9,"&gt;="&amp;E196,'C30规则'!$E$5:$E$9,"&lt;="&amp;G196,'C30规则'!$F$5:$F$9,"&gt;="&amp;G196,'C30规则'!$G$5:$G$9,"&lt;="&amp;H196,'C30规则'!$H$5:$H$9,"&gt;="&amp;H196,'C30规则'!$I$5:$I$9,"&lt;="&amp;I196,'C30规则'!$J$5:$J$9,"&gt;="&amp;I196,'C30规则'!$K$5:$K$9,"&lt;="&amp;J196,'C30规则'!$L$5:$L$9,"&gt;="&amp;J196)=1,"通过","检查")</x:f>
        <x:v>通过</x:v>
      </x:c>
      <x:c r="O196" s="29" t="str">
        <x:v>RULE_DERIVED</x:v>
      </x:c>
    </x:row>
    <x:row r="197">
      <x:c r="A197" s="29" t="str">
        <x:v>C30-20260817-003</x:v>
      </x:c>
      <x:c r="B197" s="32" t="n">
        <x:v>46251.404861111114</x:v>
      </x:c>
      <x:c r="C197" s="29" t="str">
        <x:v>C30</x:v>
      </x:c>
      <x:c r="D197" s="29" t="str">
        <x:v>NORMAL</x:v>
      </x:c>
      <x:c r="E197" s="35" t="n">
        <x:v>58.8</x:v>
      </x:c>
      <x:c r="F197" s="41" t="str">
        <x:v>稠度适中，包裹性好，不泌水，不结块，泵送顺畅</x:v>
      </x:c>
      <x:c r="G197" s="38" t="n">
        <x:v>-11</x:v>
      </x:c>
      <x:c r="H197" s="38" t="n">
        <x:v>169</x:v>
      </x:c>
      <x:c r="I197" s="38" t="n">
        <x:v>544</x:v>
      </x:c>
      <x:c r="J197" s="35" t="n">
        <x:v>4.2</x:v>
      </x:c>
      <x:c r="K197" s="29" t="str">
        <x:v>合格</x:v>
      </x:c>
      <x:c r="L197" s="41" t="str">
        <x:v>终止搅拌，直接出料；同步记录台账，留存实测参数备查。</x:v>
      </x:c>
      <x:c r="M197" s="29" t="str">
        <x:v>否</x:v>
      </x:c>
      <x:c r="N197" s="29" t="str">
        <x:f>IF(COUNTIFS('C30规则'!$A$5:$A$9,D197,'C30规则'!$C$5:$C$9,"&lt;="&amp;E197,'C30规则'!$D$5:$D$9,"&gt;="&amp;E197,'C30规则'!$E$5:$E$9,"&lt;="&amp;G197,'C30规则'!$F$5:$F$9,"&gt;="&amp;G197,'C30规则'!$G$5:$G$9,"&lt;="&amp;H197,'C30规则'!$H$5:$H$9,"&gt;="&amp;H197,'C30规则'!$I$5:$I$9,"&lt;="&amp;I197,'C30规则'!$J$5:$J$9,"&gt;="&amp;I197,'C30规则'!$K$5:$K$9,"&lt;="&amp;J197,'C30规则'!$L$5:$L$9,"&gt;="&amp;J197)=1,"通过","检查")</x:f>
        <x:v>通过</x:v>
      </x:c>
      <x:c r="O197" s="29" t="str">
        <x:v>RULE_DERIVED</x:v>
      </x:c>
    </x:row>
    <x:row r="198">
      <x:c r="A198" s="29" t="str">
        <x:v>C30-20260817-004</x:v>
      </x:c>
      <x:c r="B198" s="32" t="n">
        <x:v>46251.436111111114</x:v>
      </x:c>
      <x:c r="C198" s="29" t="str">
        <x:v>C30</x:v>
      </x:c>
      <x:c r="D198" s="29" t="str">
        <x:v>DRY_SEVERE</x:v>
      </x:c>
      <x:c r="E198" s="35" t="n">
        <x:v>72.2</x:v>
      </x:c>
      <x:c r="F198" s="41" t="str">
        <x:v>干涩，结块，挂壁，流动性极差，无法泵送</x:v>
      </x:c>
      <x:c r="G198" s="38" t="n">
        <x:v>-43</x:v>
      </x:c>
      <x:c r="H198" s="38" t="n">
        <x:v>137</x:v>
      </x:c>
      <x:c r="I198" s="38" t="n">
        <x:v>483</x:v>
      </x:c>
      <x:c r="J198" s="35" t="n">
        <x:v>5.8</x:v>
      </x:c>
      <x:c r="K198" s="29" t="str">
        <x:v>不合格</x:v>
      </x:c>
      <x:c r="L198" s="41" t="str">
        <x:v>优先补加0.2%减水剂和5kg清水，搅拌60s后复测。</x:v>
      </x:c>
      <x:c r="M198" s="29" t="str">
        <x:v>是</x:v>
      </x:c>
      <x:c r="N198" s="29" t="str">
        <x:f>IF(COUNTIFS('C30规则'!$A$5:$A$9,D198,'C30规则'!$C$5:$C$9,"&lt;="&amp;E198,'C30规则'!$D$5:$D$9,"&gt;="&amp;E198,'C30规则'!$E$5:$E$9,"&lt;="&amp;G198,'C30规则'!$F$5:$F$9,"&gt;="&amp;G198,'C30规则'!$G$5:$G$9,"&lt;="&amp;H198,'C30规则'!$H$5:$H$9,"&gt;="&amp;H198,'C30规则'!$I$5:$I$9,"&lt;="&amp;I198,'C30规则'!$J$5:$J$9,"&gt;="&amp;I198,'C30规则'!$K$5:$K$9,"&lt;="&amp;J198,'C30规则'!$L$5:$L$9,"&gt;="&amp;J198)=1,"通过","检查")</x:f>
        <x:v>通过</x:v>
      </x:c>
      <x:c r="O198" s="29" t="str">
        <x:v>RULE_DERIVED</x:v>
      </x:c>
    </x:row>
    <x:row r="199">
      <x:c r="A199" s="29" t="str">
        <x:v>C30-20260817-005</x:v>
      </x:c>
      <x:c r="B199" s="32" t="n">
        <x:v>46251.467361111114</x:v>
      </x:c>
      <x:c r="C199" s="29" t="str">
        <x:v>C30</x:v>
      </x:c>
      <x:c r="D199" s="29" t="str">
        <x:v>WET_SEVERE</x:v>
      </x:c>
      <x:c r="E199" s="35" t="n">
        <x:v>44.2</x:v>
      </x:c>
      <x:c r="F199" s="41" t="str">
        <x:v>过稀，泌水，离析，骨料下沉，存在堵泵风险</x:v>
      </x:c>
      <x:c r="G199" s="38" t="n">
        <x:v>53</x:v>
      </x:c>
      <x:c r="H199" s="38" t="n">
        <x:v>233</x:v>
      </x:c>
      <x:c r="I199" s="38" t="n">
        <x:v>649</x:v>
      </x:c>
      <x:c r="J199" s="35" t="n">
        <x:v>1.2</x:v>
      </x:c>
      <x:c r="K199" s="29" t="str">
        <x:v>不合格</x:v>
      </x:c>
      <x:c r="L199" s="41" t="str">
        <x:v>立即暂停出料；加入10–12kg/m³干砂和3–5kg/m³水泥，搅拌60s后复测；仍离析则废弃并排查计量系统。</x:v>
      </x:c>
      <x:c r="M199" s="29" t="str">
        <x:v>是</x:v>
      </x:c>
      <x:c r="N199" s="29" t="str">
        <x:f>IF(COUNTIFS('C30规则'!$A$5:$A$9,D199,'C30规则'!$C$5:$C$9,"&lt;="&amp;E199,'C30规则'!$D$5:$D$9,"&gt;="&amp;E199,'C30规则'!$E$5:$E$9,"&lt;="&amp;G199,'C30规则'!$F$5:$F$9,"&gt;="&amp;G199,'C30规则'!$G$5:$G$9,"&lt;="&amp;H199,'C30规则'!$H$5:$H$9,"&gt;="&amp;H199,'C30规则'!$I$5:$I$9,"&lt;="&amp;I199,'C30规则'!$J$5:$J$9,"&gt;="&amp;I199,'C30规则'!$K$5:$K$9,"&lt;="&amp;J199,'C30规则'!$L$5:$L$9,"&gt;="&amp;J199)=1,"通过","检查")</x:f>
        <x:v>通过</x:v>
      </x:c>
      <x:c r="O199" s="29" t="str">
        <x:v>RULE_DERIVED</x:v>
      </x:c>
    </x:row>
    <x:row r="200">
      <x:c r="A200" s="29" t="str">
        <x:v>C30-20260817-006</x:v>
      </x:c>
      <x:c r="B200" s="32" t="n">
        <x:v>46251.50208333333</x:v>
      </x:c>
      <x:c r="C200" s="29" t="str">
        <x:v>C30</x:v>
      </x:c>
      <x:c r="D200" s="29" t="str">
        <x:v>NORMAL</x:v>
      </x:c>
      <x:c r="E200" s="35" t="n">
        <x:v>59.4</x:v>
      </x:c>
      <x:c r="F200" s="41" t="str">
        <x:v>稠度适中，包裹性好，不泌水，不结块，泵送顺畅</x:v>
      </x:c>
      <x:c r="G200" s="38" t="n">
        <x:v>-15</x:v>
      </x:c>
      <x:c r="H200" s="38" t="n">
        <x:v>165</x:v>
      </x:c>
      <x:c r="I200" s="38" t="n">
        <x:v>532</x:v>
      </x:c>
      <x:c r="J200" s="35" t="n">
        <x:v>4.2</x:v>
      </x:c>
      <x:c r="K200" s="29" t="str">
        <x:v>合格</x:v>
      </x:c>
      <x:c r="L200" s="41" t="str">
        <x:v>终止搅拌，直接出料；同步记录台账，留存实测参数备查。</x:v>
      </x:c>
      <x:c r="M200" s="29" t="str">
        <x:v>否</x:v>
      </x:c>
      <x:c r="N200" s="29" t="str">
        <x:f>IF(COUNTIFS('C30规则'!$A$5:$A$9,D200,'C30规则'!$C$5:$C$9,"&lt;="&amp;E200,'C30规则'!$D$5:$D$9,"&gt;="&amp;E200,'C30规则'!$E$5:$E$9,"&lt;="&amp;G200,'C30规则'!$F$5:$F$9,"&gt;="&amp;G200,'C30规则'!$G$5:$G$9,"&lt;="&amp;H200,'C30规则'!$H$5:$H$9,"&gt;="&amp;H200,'C30规则'!$I$5:$I$9,"&lt;="&amp;I200,'C30规则'!$J$5:$J$9,"&gt;="&amp;I200,'C30规则'!$K$5:$K$9,"&lt;="&amp;J200,'C30规则'!$L$5:$L$9,"&gt;="&amp;J200)=1,"通过","检查")</x:f>
        <x:v>通过</x:v>
      </x:c>
      <x:c r="O200" s="29" t="str">
        <x:v>RULE_DERIVED</x:v>
      </x:c>
    </x:row>
    <x:row r="201">
      <x:c r="A201" s="29" t="str">
        <x:v>C30-20260817-007</x:v>
      </x:c>
      <x:c r="B201" s="32" t="n">
        <x:v>46251.53611111111</x:v>
      </x:c>
      <x:c r="C201" s="29" t="str">
        <x:v>C30</x:v>
      </x:c>
      <x:c r="D201" s="29" t="str">
        <x:v>NORMAL</x:v>
      </x:c>
      <x:c r="E201" s="35" t="n">
        <x:v>58.8</x:v>
      </x:c>
      <x:c r="F201" s="41" t="str">
        <x:v>稠度适中，包裹性好，不泌水，不结块，泵送顺畅</x:v>
      </x:c>
      <x:c r="G201" s="38" t="n">
        <x:v>-7</x:v>
      </x:c>
      <x:c r="H201" s="38" t="n">
        <x:v>173</x:v>
      </x:c>
      <x:c r="I201" s="38" t="n">
        <x:v>538</x:v>
      </x:c>
      <x:c r="J201" s="35" t="n">
        <x:v>3.9</x:v>
      </x:c>
      <x:c r="K201" s="29" t="str">
        <x:v>合格</x:v>
      </x:c>
      <x:c r="L201" s="41" t="str">
        <x:v>终止搅拌，直接出料；同步记录台账，留存实测参数备查。</x:v>
      </x:c>
      <x:c r="M201" s="29" t="str">
        <x:v>否</x:v>
      </x:c>
      <x:c r="N201" s="29" t="str">
        <x:f>IF(COUNTIFS('C30规则'!$A$5:$A$9,D201,'C30规则'!$C$5:$C$9,"&lt;="&amp;E201,'C30规则'!$D$5:$D$9,"&gt;="&amp;E201,'C30规则'!$E$5:$E$9,"&lt;="&amp;G201,'C30规则'!$F$5:$F$9,"&gt;="&amp;G201,'C30规则'!$G$5:$G$9,"&lt;="&amp;H201,'C30规则'!$H$5:$H$9,"&gt;="&amp;H201,'C30规则'!$I$5:$I$9,"&lt;="&amp;I201,'C30规则'!$J$5:$J$9,"&gt;="&amp;I201,'C30规则'!$K$5:$K$9,"&lt;="&amp;J201,'C30规则'!$L$5:$L$9,"&gt;="&amp;J201)=1,"通过","检查")</x:f>
        <x:v>通过</x:v>
      </x:c>
      <x:c r="O201" s="29" t="str">
        <x:v>RULE_DERIVED</x:v>
      </x:c>
    </x:row>
    <x:row r="202">
      <x:c r="A202" s="29" t="str">
        <x:v>C30-20260817-008</x:v>
      </x:c>
      <x:c r="B202" s="32" t="n">
        <x:v>46251.56805555556</x:v>
      </x:c>
      <x:c r="C202" s="29" t="str">
        <x:v>C30</x:v>
      </x:c>
      <x:c r="D202" s="29" t="str">
        <x:v>WET_MILD</x:v>
      </x:c>
      <x:c r="E202" s="35" t="n">
        <x:v>50.8</x:v>
      </x:c>
      <x:c r="F202" s="41" t="str">
        <x:v>偏稀，流动性偏大，无泌水</x:v>
      </x:c>
      <x:c r="G202" s="38" t="n">
        <x:v>21</x:v>
      </x:c>
      <x:c r="H202" s="38" t="n">
        <x:v>201</x:v>
      </x:c>
      <x:c r="I202" s="38" t="n">
        <x:v>599</x:v>
      </x:c>
      <x:c r="J202" s="35" t="n">
        <x:v>2.1</x:v>
      </x:c>
      <x:c r="K202" s="29" t="str">
        <x:v>轻微异常</x:v>
      </x:c>
      <x:c r="L202" s="41" t="str">
        <x:v>加入5–8kg/m³干砂，搅拌30s后复测，达标后正常出料并观察泵送。</x:v>
      </x:c>
      <x:c r="M202" s="29" t="str">
        <x:v>是</x:v>
      </x:c>
      <x:c r="N202" s="29" t="str">
        <x:f>IF(COUNTIFS('C30规则'!$A$5:$A$9,D202,'C30规则'!$C$5:$C$9,"&lt;="&amp;E202,'C30规则'!$D$5:$D$9,"&gt;="&amp;E202,'C30规则'!$E$5:$E$9,"&lt;="&amp;G202,'C30规则'!$F$5:$F$9,"&gt;="&amp;G202,'C30规则'!$G$5:$G$9,"&lt;="&amp;H202,'C30规则'!$H$5:$H$9,"&gt;="&amp;H202,'C30规则'!$I$5:$I$9,"&lt;="&amp;I202,'C30规则'!$J$5:$J$9,"&gt;="&amp;I202,'C30规则'!$K$5:$K$9,"&lt;="&amp;J202,'C30规则'!$L$5:$L$9,"&gt;="&amp;J202)=1,"通过","检查")</x:f>
        <x:v>通过</x:v>
      </x:c>
      <x:c r="O202" s="29" t="str">
        <x:v>RULE_DERIVED</x:v>
      </x:c>
    </x:row>
    <x:row r="203">
      <x:c r="A203" s="29" t="str">
        <x:v>C30-20260817-009</x:v>
      </x:c>
      <x:c r="B203" s="32" t="n">
        <x:v>46251.6</x:v>
      </x:c>
      <x:c r="C203" s="29" t="str">
        <x:v>C30</x:v>
      </x:c>
      <x:c r="D203" s="29" t="str">
        <x:v>NORMAL</x:v>
      </x:c>
      <x:c r="E203" s="35" t="n">
        <x:v>58.1</x:v>
      </x:c>
      <x:c r="F203" s="41" t="str">
        <x:v>稠度适中，包裹性好，不泌水，不结块，泵送顺畅</x:v>
      </x:c>
      <x:c r="G203" s="38" t="n">
        <x:v>-7</x:v>
      </x:c>
      <x:c r="H203" s="38" t="n">
        <x:v>173</x:v>
      </x:c>
      <x:c r="I203" s="38" t="n">
        <x:v>543</x:v>
      </x:c>
      <x:c r="J203" s="35" t="n">
        <x:v>3.7</x:v>
      </x:c>
      <x:c r="K203" s="29" t="str">
        <x:v>合格</x:v>
      </x:c>
      <x:c r="L203" s="41" t="str">
        <x:v>终止搅拌，直接出料；同步记录台账，留存实测参数备查。</x:v>
      </x:c>
      <x:c r="M203" s="29" t="str">
        <x:v>否</x:v>
      </x:c>
      <x:c r="N203" s="29" t="str">
        <x:f>IF(COUNTIFS('C30规则'!$A$5:$A$9,D203,'C30规则'!$C$5:$C$9,"&lt;="&amp;E203,'C30规则'!$D$5:$D$9,"&gt;="&amp;E203,'C30规则'!$E$5:$E$9,"&lt;="&amp;G203,'C30规则'!$F$5:$F$9,"&gt;="&amp;G203,'C30规则'!$G$5:$G$9,"&lt;="&amp;H203,'C30规则'!$H$5:$H$9,"&gt;="&amp;H203,'C30规则'!$I$5:$I$9,"&lt;="&amp;I203,'C30规则'!$J$5:$J$9,"&gt;="&amp;I203,'C30规则'!$K$5:$K$9,"&lt;="&amp;J203,'C30规则'!$L$5:$L$9,"&gt;="&amp;J203)=1,"通过","检查")</x:f>
        <x:v>通过</x:v>
      </x:c>
      <x:c r="O203" s="29" t="str">
        <x:v>RULE_DERIVED</x:v>
      </x:c>
    </x:row>
    <x:row r="204">
      <x:c r="A204" s="29" t="str">
        <x:v>C30-20260817-010</x:v>
      </x:c>
      <x:c r="B204" s="32" t="n">
        <x:v>46251.63402777778</x:v>
      </x:c>
      <x:c r="C204" s="29" t="str">
        <x:v>C30</x:v>
      </x:c>
      <x:c r="D204" s="29" t="str">
        <x:v>DRY_SEVERE</x:v>
      </x:c>
      <x:c r="E204" s="35" t="n">
        <x:v>72.2</x:v>
      </x:c>
      <x:c r="F204" s="41" t="str">
        <x:v>干涩，结块，挂壁，流动性极差，无法泵送</x:v>
      </x:c>
      <x:c r="G204" s="38" t="n">
        <x:v>-43</x:v>
      </x:c>
      <x:c r="H204" s="38" t="n">
        <x:v>137</x:v>
      </x:c>
      <x:c r="I204" s="38" t="n">
        <x:v>478</x:v>
      </x:c>
      <x:c r="J204" s="35" t="n">
        <x:v>5.8</x:v>
      </x:c>
      <x:c r="K204" s="29" t="str">
        <x:v>不合格</x:v>
      </x:c>
      <x:c r="L204" s="41" t="str">
        <x:v>优先补加0.2%减水剂和5kg清水，搅拌60s后复测。</x:v>
      </x:c>
      <x:c r="M204" s="29" t="str">
        <x:v>是</x:v>
      </x:c>
      <x:c r="N204" s="29" t="str">
        <x:f>IF(COUNTIFS('C30规则'!$A$5:$A$9,D204,'C30规则'!$C$5:$C$9,"&lt;="&amp;E204,'C30规则'!$D$5:$D$9,"&gt;="&amp;E204,'C30规则'!$E$5:$E$9,"&lt;="&amp;G204,'C30规则'!$F$5:$F$9,"&gt;="&amp;G204,'C30规则'!$G$5:$G$9,"&lt;="&amp;H204,'C30规则'!$H$5:$H$9,"&gt;="&amp;H204,'C30规则'!$I$5:$I$9,"&lt;="&amp;I204,'C30规则'!$J$5:$J$9,"&gt;="&amp;I204,'C30规则'!$K$5:$K$9,"&lt;="&amp;J204,'C30规则'!$L$5:$L$9,"&gt;="&amp;J204)=1,"通过","检查")</x:f>
        <x:v>通过</x:v>
      </x:c>
      <x:c r="O204" s="29" t="str">
        <x:v>RULE_DERIVED</x:v>
      </x:c>
    </x:row>
    <x:row r="205">
      <x:c r="A205" s="29" t="str">
        <x:v>C30-20260818-001</x:v>
      </x:c>
      <x:c r="B205" s="32" t="n">
        <x:v>46252.33472222222</x:v>
      </x:c>
      <x:c r="C205" s="29" t="str">
        <x:v>C30</x:v>
      </x:c>
      <x:c r="D205" s="29" t="str">
        <x:v>WET_MILD</x:v>
      </x:c>
      <x:c r="E205" s="35" t="n">
        <x:v>51.2</x:v>
      </x:c>
      <x:c r="F205" s="41" t="str">
        <x:v>偏稀，流动性偏大，无泌水</x:v>
      </x:c>
      <x:c r="G205" s="38" t="n">
        <x:v>27</x:v>
      </x:c>
      <x:c r="H205" s="38" t="n">
        <x:v>207</x:v>
      </x:c>
      <x:c r="I205" s="38" t="n">
        <x:v>598</x:v>
      </x:c>
      <x:c r="J205" s="35" t="n">
        <x:v>2.1</x:v>
      </x:c>
      <x:c r="K205" s="29" t="str">
        <x:v>轻微异常</x:v>
      </x:c>
      <x:c r="L205" s="41" t="str">
        <x:v>加入5–8kg/m³干砂，搅拌30s后复测，达标后正常出料并观察泵送。</x:v>
      </x:c>
      <x:c r="M205" s="29" t="str">
        <x:v>是</x:v>
      </x:c>
      <x:c r="N205" s="29" t="str">
        <x:f>IF(COUNTIFS('C30规则'!$A$5:$A$9,D205,'C30规则'!$C$5:$C$9,"&lt;="&amp;E205,'C30规则'!$D$5:$D$9,"&gt;="&amp;E205,'C30规则'!$E$5:$E$9,"&lt;="&amp;G205,'C30规则'!$F$5:$F$9,"&gt;="&amp;G205,'C30规则'!$G$5:$G$9,"&lt;="&amp;H205,'C30规则'!$H$5:$H$9,"&gt;="&amp;H205,'C30规则'!$I$5:$I$9,"&lt;="&amp;I205,'C30规则'!$J$5:$J$9,"&gt;="&amp;I205,'C30规则'!$K$5:$K$9,"&lt;="&amp;J205,'C30规则'!$L$5:$L$9,"&gt;="&amp;J205)=1,"通过","检查")</x:f>
        <x:v>通过</x:v>
      </x:c>
      <x:c r="O205" s="29" t="str">
        <x:v>RULE_DERIVED</x:v>
      </x:c>
    </x:row>
    <x:row r="206">
      <x:c r="A206" s="29" t="str">
        <x:v>C30-20260818-002</x:v>
      </x:c>
      <x:c r="B206" s="32" t="n">
        <x:v>46252.36666666667</x:v>
      </x:c>
      <x:c r="C206" s="29" t="str">
        <x:v>C30</x:v>
      </x:c>
      <x:c r="D206" s="29" t="str">
        <x:v>WET_MILD</x:v>
      </x:c>
      <x:c r="E206" s="35" t="n">
        <x:v>49</x:v>
      </x:c>
      <x:c r="F206" s="41" t="str">
        <x:v>偏稀，流动性偏大，无泌水</x:v>
      </x:c>
      <x:c r="G206" s="38" t="n">
        <x:v>26</x:v>
      </x:c>
      <x:c r="H206" s="38" t="n">
        <x:v>206</x:v>
      </x:c>
      <x:c r="I206" s="38" t="n">
        <x:v>598</x:v>
      </x:c>
      <x:c r="J206" s="35" t="n">
        <x:v>2.1</x:v>
      </x:c>
      <x:c r="K206" s="29" t="str">
        <x:v>轻微异常</x:v>
      </x:c>
      <x:c r="L206" s="41" t="str">
        <x:v>加入5–8kg/m³干砂，搅拌30s后复测，达标后正常出料并观察泵送。</x:v>
      </x:c>
      <x:c r="M206" s="29" t="str">
        <x:v>是</x:v>
      </x:c>
      <x:c r="N206" s="29" t="str">
        <x:f>IF(COUNTIFS('C30规则'!$A$5:$A$9,D206,'C30规则'!$C$5:$C$9,"&lt;="&amp;E206,'C30规则'!$D$5:$D$9,"&gt;="&amp;E206,'C30规则'!$E$5:$E$9,"&lt;="&amp;G206,'C30规则'!$F$5:$F$9,"&gt;="&amp;G206,'C30规则'!$G$5:$G$9,"&lt;="&amp;H206,'C30规则'!$H$5:$H$9,"&gt;="&amp;H206,'C30规则'!$I$5:$I$9,"&lt;="&amp;I206,'C30规则'!$J$5:$J$9,"&gt;="&amp;I206,'C30规则'!$K$5:$K$9,"&lt;="&amp;J206,'C30规则'!$L$5:$L$9,"&gt;="&amp;J206)=1,"通过","检查")</x:f>
        <x:v>通过</x:v>
      </x:c>
      <x:c r="O206" s="29" t="str">
        <x:v>RULE_DERIVED</x:v>
      </x:c>
    </x:row>
    <x:row r="207">
      <x:c r="A207" s="29" t="str">
        <x:v>C30-20260818-003</x:v>
      </x:c>
      <x:c r="B207" s="32" t="n">
        <x:v>46252.4</x:v>
      </x:c>
      <x:c r="C207" s="29" t="str">
        <x:v>C30</x:v>
      </x:c>
      <x:c r="D207" s="29" t="str">
        <x:v>NORMAL</x:v>
      </x:c>
      <x:c r="E207" s="35" t="n">
        <x:v>59</x:v>
      </x:c>
      <x:c r="F207" s="41" t="str">
        <x:v>稠度适中，包裹性好，不泌水，不结块，泵送顺畅</x:v>
      </x:c>
      <x:c r="G207" s="38" t="n">
        <x:v>-12</x:v>
      </x:c>
      <x:c r="H207" s="38" t="n">
        <x:v>168</x:v>
      </x:c>
      <x:c r="I207" s="38" t="n">
        <x:v>536</x:v>
      </x:c>
      <x:c r="J207" s="35" t="n">
        <x:v>4.2</x:v>
      </x:c>
      <x:c r="K207" s="29" t="str">
        <x:v>合格</x:v>
      </x:c>
      <x:c r="L207" s="41" t="str">
        <x:v>终止搅拌，直接出料；同步记录台账，留存实测参数备查。</x:v>
      </x:c>
      <x:c r="M207" s="29" t="str">
        <x:v>否</x:v>
      </x:c>
      <x:c r="N207" s="29" t="str">
        <x:f>IF(COUNTIFS('C30规则'!$A$5:$A$9,D207,'C30规则'!$C$5:$C$9,"&lt;="&amp;E207,'C30规则'!$D$5:$D$9,"&gt;="&amp;E207,'C30规则'!$E$5:$E$9,"&lt;="&amp;G207,'C30规则'!$F$5:$F$9,"&gt;="&amp;G207,'C30规则'!$G$5:$G$9,"&lt;="&amp;H207,'C30规则'!$H$5:$H$9,"&gt;="&amp;H207,'C30规则'!$I$5:$I$9,"&lt;="&amp;I207,'C30规则'!$J$5:$J$9,"&gt;="&amp;I207,'C30规则'!$K$5:$K$9,"&lt;="&amp;J207,'C30规则'!$L$5:$L$9,"&gt;="&amp;J207)=1,"通过","检查")</x:f>
        <x:v>通过</x:v>
      </x:c>
      <x:c r="O207" s="29" t="str">
        <x:v>RULE_DERIVED</x:v>
      </x:c>
    </x:row>
    <x:row r="208">
      <x:c r="A208" s="29" t="str">
        <x:v>C30-20260818-004</x:v>
      </x:c>
      <x:c r="B208" s="32" t="n">
        <x:v>46252.43541666667</x:v>
      </x:c>
      <x:c r="C208" s="29" t="str">
        <x:v>C30</x:v>
      </x:c>
      <x:c r="D208" s="29" t="str">
        <x:v>NORMAL</x:v>
      </x:c>
      <x:c r="E208" s="35" t="n">
        <x:v>56.2</x:v>
      </x:c>
      <x:c r="F208" s="41" t="str">
        <x:v>稠度适中，包裹性好，不泌水，不结块，泵送顺畅</x:v>
      </x:c>
      <x:c r="G208" s="38" t="n">
        <x:v>7</x:v>
      </x:c>
      <x:c r="H208" s="38" t="n">
        <x:v>187</x:v>
      </x:c>
      <x:c r="I208" s="38" t="n">
        <x:v>567</x:v>
      </x:c>
      <x:c r="J208" s="35" t="n">
        <x:v>3</x:v>
      </x:c>
      <x:c r="K208" s="29" t="str">
        <x:v>合格</x:v>
      </x:c>
      <x:c r="L208" s="41" t="str">
        <x:v>终止搅拌，直接出料；同步记录台账，留存实测参数备查。</x:v>
      </x:c>
      <x:c r="M208" s="29" t="str">
        <x:v>否</x:v>
      </x:c>
      <x:c r="N208" s="29" t="str">
        <x:f>IF(COUNTIFS('C30规则'!$A$5:$A$9,D208,'C30规则'!$C$5:$C$9,"&lt;="&amp;E208,'C30规则'!$D$5:$D$9,"&gt;="&amp;E208,'C30规则'!$E$5:$E$9,"&lt;="&amp;G208,'C30规则'!$F$5:$F$9,"&gt;="&amp;G208,'C30规则'!$G$5:$G$9,"&lt;="&amp;H208,'C30规则'!$H$5:$H$9,"&gt;="&amp;H208,'C30规则'!$I$5:$I$9,"&lt;="&amp;I208,'C30规则'!$J$5:$J$9,"&gt;="&amp;I208,'C30规则'!$K$5:$K$9,"&lt;="&amp;J208,'C30规则'!$L$5:$L$9,"&gt;="&amp;J208)=1,"通过","检查")</x:f>
        <x:v>通过</x:v>
      </x:c>
      <x:c r="O208" s="29" t="str">
        <x:v>RULE_DERIVED</x:v>
      </x:c>
    </x:row>
    <x:row r="209">
      <x:c r="A209" s="29" t="str">
        <x:v>C30-20260818-005</x:v>
      </x:c>
      <x:c r="B209" s="32" t="n">
        <x:v>46252.46666666667</x:v>
      </x:c>
      <x:c r="C209" s="29" t="str">
        <x:v>C30</x:v>
      </x:c>
      <x:c r="D209" s="29" t="str">
        <x:v>NORMAL</x:v>
      </x:c>
      <x:c r="E209" s="35" t="n">
        <x:v>58.6</x:v>
      </x:c>
      <x:c r="F209" s="41" t="str">
        <x:v>稠度适中，包裹性好，不泌水，不结块，泵送顺畅</x:v>
      </x:c>
      <x:c r="G209" s="38" t="n">
        <x:v>-11</x:v>
      </x:c>
      <x:c r="H209" s="38" t="n">
        <x:v>169</x:v>
      </x:c>
      <x:c r="I209" s="38" t="n">
        <x:v>545</x:v>
      </x:c>
      <x:c r="J209" s="35" t="n">
        <x:v>3.8</x:v>
      </x:c>
      <x:c r="K209" s="29" t="str">
        <x:v>合格</x:v>
      </x:c>
      <x:c r="L209" s="41" t="str">
        <x:v>终止搅拌，直接出料；同步记录台账，留存实测参数备查。</x:v>
      </x:c>
      <x:c r="M209" s="29" t="str">
        <x:v>否</x:v>
      </x:c>
      <x:c r="N209" s="29" t="str">
        <x:f>IF(COUNTIFS('C30规则'!$A$5:$A$9,D209,'C30规则'!$C$5:$C$9,"&lt;="&amp;E209,'C30规则'!$D$5:$D$9,"&gt;="&amp;E209,'C30规则'!$E$5:$E$9,"&lt;="&amp;G209,'C30规则'!$F$5:$F$9,"&gt;="&amp;G209,'C30规则'!$G$5:$G$9,"&lt;="&amp;H209,'C30规则'!$H$5:$H$9,"&gt;="&amp;H209,'C30规则'!$I$5:$I$9,"&lt;="&amp;I209,'C30规则'!$J$5:$J$9,"&gt;="&amp;I209,'C30规则'!$K$5:$K$9,"&lt;="&amp;J209,'C30规则'!$L$5:$L$9,"&gt;="&amp;J209)=1,"通过","检查")</x:f>
        <x:v>通过</x:v>
      </x:c>
      <x:c r="O209" s="29" t="str">
        <x:v>RULE_DERIVED</x:v>
      </x:c>
    </x:row>
    <x:row r="210">
      <x:c r="A210" s="29" t="str">
        <x:v>C30-20260818-006</x:v>
      </x:c>
      <x:c r="B210" s="32" t="n">
        <x:v>46252.501388888886</x:v>
      </x:c>
      <x:c r="C210" s="29" t="str">
        <x:v>C30</x:v>
      </x:c>
      <x:c r="D210" s="29" t="str">
        <x:v>DRY_MILD</x:v>
      </x:c>
      <x:c r="E210" s="35" t="n">
        <x:v>69.8</x:v>
      </x:c>
      <x:c r="F210" s="41" t="str">
        <x:v>偏干，骨料微裸露，流动性偏弱</x:v>
      </x:c>
      <x:c r="G210" s="38" t="n">
        <x:v>-30</x:v>
      </x:c>
      <x:c r="H210" s="38" t="n">
        <x:v>150</x:v>
      </x:c>
      <x:c r="I210" s="38" t="n">
        <x:v>501</x:v>
      </x:c>
      <x:c r="J210" s="35" t="n">
        <x:v>5.5</x:v>
      </x:c>
      <x:c r="K210" s="29" t="str">
        <x:v>轻微异常</x:v>
      </x:c>
      <x:c r="L210" s="41" t="str">
        <x:v>优先增加聚羧酸减水剂掺量0.1%，搅拌30s后复测，达标后出料。</x:v>
      </x:c>
      <x:c r="M210" s="29" t="str">
        <x:v>是</x:v>
      </x:c>
      <x:c r="N210" s="29" t="str">
        <x:f>IF(COUNTIFS('C30规则'!$A$5:$A$9,D210,'C30规则'!$C$5:$C$9,"&lt;="&amp;E210,'C30规则'!$D$5:$D$9,"&gt;="&amp;E210,'C30规则'!$E$5:$E$9,"&lt;="&amp;G210,'C30规则'!$F$5:$F$9,"&gt;="&amp;G210,'C30规则'!$G$5:$G$9,"&lt;="&amp;H210,'C30规则'!$H$5:$H$9,"&gt;="&amp;H210,'C30规则'!$I$5:$I$9,"&lt;="&amp;I210,'C30规则'!$J$5:$J$9,"&gt;="&amp;I210,'C30规则'!$K$5:$K$9,"&lt;="&amp;J210,'C30规则'!$L$5:$L$9,"&gt;="&amp;J210)=1,"通过","检查")</x:f>
        <x:v>通过</x:v>
      </x:c>
      <x:c r="O210" s="29" t="str">
        <x:v>RULE_DERIVED</x:v>
      </x:c>
    </x:row>
    <x:row r="211">
      <x:c r="A211" s="29" t="str">
        <x:v>C30-20260818-007</x:v>
      </x:c>
      <x:c r="B211" s="32" t="n">
        <x:v>46252.535416666666</x:v>
      </x:c>
      <x:c r="C211" s="29" t="str">
        <x:v>C30</x:v>
      </x:c>
      <x:c r="D211" s="29" t="str">
        <x:v>NORMAL</x:v>
      </x:c>
      <x:c r="E211" s="35" t="n">
        <x:v>58.7</x:v>
      </x:c>
      <x:c r="F211" s="41" t="str">
        <x:v>稠度适中，包裹性好，不泌水，不结块，泵送顺畅</x:v>
      </x:c>
      <x:c r="G211" s="38" t="n">
        <x:v>-11</x:v>
      </x:c>
      <x:c r="H211" s="38" t="n">
        <x:v>169</x:v>
      </x:c>
      <x:c r="I211" s="38" t="n">
        <x:v>542</x:v>
      </x:c>
      <x:c r="J211" s="35" t="n">
        <x:v>4</x:v>
      </x:c>
      <x:c r="K211" s="29" t="str">
        <x:v>合格</x:v>
      </x:c>
      <x:c r="L211" s="41" t="str">
        <x:v>终止搅拌，直接出料；同步记录台账，留存实测参数备查。</x:v>
      </x:c>
      <x:c r="M211" s="29" t="str">
        <x:v>否</x:v>
      </x:c>
      <x:c r="N211" s="29" t="str">
        <x:f>IF(COUNTIFS('C30规则'!$A$5:$A$9,D211,'C30规则'!$C$5:$C$9,"&lt;="&amp;E211,'C30规则'!$D$5:$D$9,"&gt;="&amp;E211,'C30规则'!$E$5:$E$9,"&lt;="&amp;G211,'C30规则'!$F$5:$F$9,"&gt;="&amp;G211,'C30规则'!$G$5:$G$9,"&lt;="&amp;H211,'C30规则'!$H$5:$H$9,"&gt;="&amp;H211,'C30规则'!$I$5:$I$9,"&lt;="&amp;I211,'C30规则'!$J$5:$J$9,"&gt;="&amp;I211,'C30规则'!$K$5:$K$9,"&lt;="&amp;J211,'C30规则'!$L$5:$L$9,"&gt;="&amp;J211)=1,"通过","检查")</x:f>
        <x:v>通过</x:v>
      </x:c>
      <x:c r="O211" s="29" t="str">
        <x:v>RULE_DERIVED</x:v>
      </x:c>
    </x:row>
    <x:row r="212">
      <x:c r="A212" s="29" t="str">
        <x:v>C30-20260818-008</x:v>
      </x:c>
      <x:c r="B212" s="32" t="n">
        <x:v>46252.57013888889</x:v>
      </x:c>
      <x:c r="C212" s="29" t="str">
        <x:v>C30</x:v>
      </x:c>
      <x:c r="D212" s="29" t="str">
        <x:v>DRY_MILD</x:v>
      </x:c>
      <x:c r="E212" s="35" t="n">
        <x:v>64.6</x:v>
      </x:c>
      <x:c r="F212" s="41" t="str">
        <x:v>偏干，骨料微裸露，流动性偏弱</x:v>
      </x:c>
      <x:c r="G212" s="38" t="n">
        <x:v>-21</x:v>
      </x:c>
      <x:c r="H212" s="38" t="n">
        <x:v>159</x:v>
      </x:c>
      <x:c r="I212" s="38" t="n">
        <x:v>508</x:v>
      </x:c>
      <x:c r="J212" s="35" t="n">
        <x:v>5</x:v>
      </x:c>
      <x:c r="K212" s="29" t="str">
        <x:v>轻微异常</x:v>
      </x:c>
      <x:c r="L212" s="41" t="str">
        <x:v>优先增加聚羧酸减水剂掺量0.1%，搅拌30s后复测，达标后出料。</x:v>
      </x:c>
      <x:c r="M212" s="29" t="str">
        <x:v>是</x:v>
      </x:c>
      <x:c r="N212" s="29" t="str">
        <x:f>IF(COUNTIFS('C30规则'!$A$5:$A$9,D212,'C30规则'!$C$5:$C$9,"&lt;="&amp;E212,'C30规则'!$D$5:$D$9,"&gt;="&amp;E212,'C30规则'!$E$5:$E$9,"&lt;="&amp;G212,'C30规则'!$F$5:$F$9,"&gt;="&amp;G212,'C30规则'!$G$5:$G$9,"&lt;="&amp;H212,'C30规则'!$H$5:$H$9,"&gt;="&amp;H212,'C30规则'!$I$5:$I$9,"&lt;="&amp;I212,'C30规则'!$J$5:$J$9,"&gt;="&amp;I212,'C30规则'!$K$5:$K$9,"&lt;="&amp;J212,'C30规则'!$L$5:$L$9,"&gt;="&amp;J212)=1,"通过","检查")</x:f>
        <x:v>通过</x:v>
      </x:c>
      <x:c r="O212" s="29" t="str">
        <x:v>RULE_DERIVED</x:v>
      </x:c>
    </x:row>
    <x:row r="213">
      <x:c r="A213" s="29" t="str">
        <x:v>C30-20260818-009</x:v>
      </x:c>
      <x:c r="B213" s="32" t="n">
        <x:v>46252.6</x:v>
      </x:c>
      <x:c r="C213" s="29" t="str">
        <x:v>C30</x:v>
      </x:c>
      <x:c r="D213" s="29" t="str">
        <x:v>NORMAL</x:v>
      </x:c>
      <x:c r="E213" s="35" t="n">
        <x:v>57.1</x:v>
      </x:c>
      <x:c r="F213" s="41" t="str">
        <x:v>稠度适中，包裹性好，不泌水，不结块，泵送顺畅</x:v>
      </x:c>
      <x:c r="G213" s="38" t="n">
        <x:v>4</x:v>
      </x:c>
      <x:c r="H213" s="38" t="n">
        <x:v>184</x:v>
      </x:c>
      <x:c r="I213" s="38" t="n">
        <x:v>558</x:v>
      </x:c>
      <x:c r="J213" s="35" t="n">
        <x:v>3.3</x:v>
      </x:c>
      <x:c r="K213" s="29" t="str">
        <x:v>合格</x:v>
      </x:c>
      <x:c r="L213" s="41" t="str">
        <x:v>终止搅拌，直接出料；同步记录台账，留存实测参数备查。</x:v>
      </x:c>
      <x:c r="M213" s="29" t="str">
        <x:v>否</x:v>
      </x:c>
      <x:c r="N213" s="29" t="str">
        <x:f>IF(COUNTIFS('C30规则'!$A$5:$A$9,D213,'C30规则'!$C$5:$C$9,"&lt;="&amp;E213,'C30规则'!$D$5:$D$9,"&gt;="&amp;E213,'C30规则'!$E$5:$E$9,"&lt;="&amp;G213,'C30规则'!$F$5:$F$9,"&gt;="&amp;G213,'C30规则'!$G$5:$G$9,"&lt;="&amp;H213,'C30规则'!$H$5:$H$9,"&gt;="&amp;H213,'C30规则'!$I$5:$I$9,"&lt;="&amp;I213,'C30规则'!$J$5:$J$9,"&gt;="&amp;I213,'C30规则'!$K$5:$K$9,"&lt;="&amp;J213,'C30规则'!$L$5:$L$9,"&gt;="&amp;J213)=1,"通过","检查")</x:f>
        <x:v>通过</x:v>
      </x:c>
      <x:c r="O213" s="29" t="str">
        <x:v>RULE_DERIVED</x:v>
      </x:c>
    </x:row>
    <x:row r="214">
      <x:c r="A214" s="29" t="str">
        <x:v>C30-20260818-010</x:v>
      </x:c>
      <x:c r="B214" s="32" t="n">
        <x:v>46252.638194444444</x:v>
      </x:c>
      <x:c r="C214" s="29" t="str">
        <x:v>C30</x:v>
      </x:c>
      <x:c r="D214" s="29" t="str">
        <x:v>NORMAL</x:v>
      </x:c>
      <x:c r="E214" s="35" t="n">
        <x:v>59</x:v>
      </x:c>
      <x:c r="F214" s="41" t="str">
        <x:v>稠度适中，包裹性好，不泌水，不结块，泵送顺畅</x:v>
      </x:c>
      <x:c r="G214" s="38" t="n">
        <x:v>-12</x:v>
      </x:c>
      <x:c r="H214" s="38" t="n">
        <x:v>168</x:v>
      </x:c>
      <x:c r="I214" s="38" t="n">
        <x:v>534</x:v>
      </x:c>
      <x:c r="J214" s="35" t="n">
        <x:v>4</x:v>
      </x:c>
      <x:c r="K214" s="29" t="str">
        <x:v>合格</x:v>
      </x:c>
      <x:c r="L214" s="41" t="str">
        <x:v>终止搅拌，直接出料；同步记录台账，留存实测参数备查。</x:v>
      </x:c>
      <x:c r="M214" s="29" t="str">
        <x:v>否</x:v>
      </x:c>
      <x:c r="N214" s="29" t="str">
        <x:f>IF(COUNTIFS('C30规则'!$A$5:$A$9,D214,'C30规则'!$C$5:$C$9,"&lt;="&amp;E214,'C30规则'!$D$5:$D$9,"&gt;="&amp;E214,'C30规则'!$E$5:$E$9,"&lt;="&amp;G214,'C30规则'!$F$5:$F$9,"&gt;="&amp;G214,'C30规则'!$G$5:$G$9,"&lt;="&amp;H214,'C30规则'!$H$5:$H$9,"&gt;="&amp;H214,'C30规则'!$I$5:$I$9,"&lt;="&amp;I214,'C30规则'!$J$5:$J$9,"&gt;="&amp;I214,'C30规则'!$K$5:$K$9,"&lt;="&amp;J214,'C30规则'!$L$5:$L$9,"&gt;="&amp;J214)=1,"通过","检查")</x:f>
        <x:v>通过</x:v>
      </x:c>
      <x:c r="O214" s="29" t="str">
        <x:v>RULE_DERIVED</x:v>
      </x:c>
    </x:row>
    <x:row r="215">
      <x:c r="A215" s="29" t="str">
        <x:v>C30-20260819-001</x:v>
      </x:c>
      <x:c r="B215" s="32" t="n">
        <x:v>46253.3375</x:v>
      </x:c>
      <x:c r="C215" s="29" t="str">
        <x:v>C30</x:v>
      </x:c>
      <x:c r="D215" s="29" t="str">
        <x:v>DRY_MILD</x:v>
      </x:c>
      <x:c r="E215" s="35" t="n">
        <x:v>62.4</x:v>
      </x:c>
      <x:c r="F215" s="41" t="str">
        <x:v>偏干，骨料微裸露，流动性偏弱</x:v>
      </x:c>
      <x:c r="G215" s="38" t="n">
        <x:v>-21</x:v>
      </x:c>
      <x:c r="H215" s="38" t="n">
        <x:v>159</x:v>
      </x:c>
      <x:c r="I215" s="38" t="n">
        <x:v>513</x:v>
      </x:c>
      <x:c r="J215" s="35" t="n">
        <x:v>4.7</x:v>
      </x:c>
      <x:c r="K215" s="29" t="str">
        <x:v>轻微异常</x:v>
      </x:c>
      <x:c r="L215" s="41" t="str">
        <x:v>优先增加聚羧酸减水剂掺量0.1%，搅拌30s后复测，达标后出料。</x:v>
      </x:c>
      <x:c r="M215" s="29" t="str">
        <x:v>是</x:v>
      </x:c>
      <x:c r="N215" s="29" t="str">
        <x:f>IF(COUNTIFS('C30规则'!$A$5:$A$9,D215,'C30规则'!$C$5:$C$9,"&lt;="&amp;E215,'C30规则'!$D$5:$D$9,"&gt;="&amp;E215,'C30规则'!$E$5:$E$9,"&lt;="&amp;G215,'C30规则'!$F$5:$F$9,"&gt;="&amp;G215,'C30规则'!$G$5:$G$9,"&lt;="&amp;H215,'C30规则'!$H$5:$H$9,"&gt;="&amp;H215,'C30规则'!$I$5:$I$9,"&lt;="&amp;I215,'C30规则'!$J$5:$J$9,"&gt;="&amp;I215,'C30规则'!$K$5:$K$9,"&lt;="&amp;J215,'C30规则'!$L$5:$L$9,"&gt;="&amp;J215)=1,"通过","检查")</x:f>
        <x:v>通过</x:v>
      </x:c>
      <x:c r="O215" s="29" t="str">
        <x:v>RULE_DERIVED</x:v>
      </x:c>
    </x:row>
    <x:row r="216">
      <x:c r="A216" s="29" t="str">
        <x:v>C30-20260819-002</x:v>
      </x:c>
      <x:c r="B216" s="32" t="n">
        <x:v>46253.37013888889</x:v>
      </x:c>
      <x:c r="C216" s="29" t="str">
        <x:v>C30</x:v>
      </x:c>
      <x:c r="D216" s="29" t="str">
        <x:v>DRY_MILD</x:v>
      </x:c>
      <x:c r="E216" s="35" t="n">
        <x:v>66</x:v>
      </x:c>
      <x:c r="F216" s="41" t="str">
        <x:v>偏干，骨料微裸露，流动性偏弱</x:v>
      </x:c>
      <x:c r="G216" s="38" t="n">
        <x:v>-29</x:v>
      </x:c>
      <x:c r="H216" s="38" t="n">
        <x:v>151</x:v>
      </x:c>
      <x:c r="I216" s="38" t="n">
        <x:v>514</x:v>
      </x:c>
      <x:c r="J216" s="35" t="n">
        <x:v>5.1</x:v>
      </x:c>
      <x:c r="K216" s="29" t="str">
        <x:v>轻微异常</x:v>
      </x:c>
      <x:c r="L216" s="41" t="str">
        <x:v>优先增加聚羧酸减水剂掺量0.1%，搅拌30s后复测，达标后出料。</x:v>
      </x:c>
      <x:c r="M216" s="29" t="str">
        <x:v>是</x:v>
      </x:c>
      <x:c r="N216" s="29" t="str">
        <x:f>IF(COUNTIFS('C30规则'!$A$5:$A$9,D216,'C30规则'!$C$5:$C$9,"&lt;="&amp;E216,'C30规则'!$D$5:$D$9,"&gt;="&amp;E216,'C30规则'!$E$5:$E$9,"&lt;="&amp;G216,'C30规则'!$F$5:$F$9,"&gt;="&amp;G216,'C30规则'!$G$5:$G$9,"&lt;="&amp;H216,'C30规则'!$H$5:$H$9,"&gt;="&amp;H216,'C30规则'!$I$5:$I$9,"&lt;="&amp;I216,'C30规则'!$J$5:$J$9,"&gt;="&amp;I216,'C30规则'!$K$5:$K$9,"&lt;="&amp;J216,'C30规则'!$L$5:$L$9,"&gt;="&amp;J216)=1,"通过","检查")</x:f>
        <x:v>通过</x:v>
      </x:c>
      <x:c r="O216" s="29" t="str">
        <x:v>RULE_DERIVED</x:v>
      </x:c>
    </x:row>
    <x:row r="217">
      <x:c r="A217" s="29" t="str">
        <x:v>C30-20260819-003</x:v>
      </x:c>
      <x:c r="B217" s="32" t="n">
        <x:v>46253.40416666667</x:v>
      </x:c>
      <x:c r="C217" s="29" t="str">
        <x:v>C30</x:v>
      </x:c>
      <x:c r="D217" s="29" t="str">
        <x:v>WET_MILD</x:v>
      </x:c>
      <x:c r="E217" s="35" t="n">
        <x:v>48.7</x:v>
      </x:c>
      <x:c r="F217" s="41" t="str">
        <x:v>偏稀，流动性偏大，无泌水</x:v>
      </x:c>
      <x:c r="G217" s="38" t="n">
        <x:v>26</x:v>
      </x:c>
      <x:c r="H217" s="38" t="n">
        <x:v>206</x:v>
      </x:c>
      <x:c r="I217" s="38" t="n">
        <x:v>603</x:v>
      </x:c>
      <x:c r="J217" s="35" t="n">
        <x:v>2</x:v>
      </x:c>
      <x:c r="K217" s="29" t="str">
        <x:v>轻微异常</x:v>
      </x:c>
      <x:c r="L217" s="41" t="str">
        <x:v>加入5–8kg/m³干砂，搅拌30s后复测，达标后正常出料并观察泵送。</x:v>
      </x:c>
      <x:c r="M217" s="29" t="str">
        <x:v>是</x:v>
      </x:c>
      <x:c r="N217" s="29" t="str">
        <x:f>IF(COUNTIFS('C30规则'!$A$5:$A$9,D217,'C30规则'!$C$5:$C$9,"&lt;="&amp;E217,'C30规则'!$D$5:$D$9,"&gt;="&amp;E217,'C30规则'!$E$5:$E$9,"&lt;="&amp;G217,'C30规则'!$F$5:$F$9,"&gt;="&amp;G217,'C30规则'!$G$5:$G$9,"&lt;="&amp;H217,'C30规则'!$H$5:$H$9,"&gt;="&amp;H217,'C30规则'!$I$5:$I$9,"&lt;="&amp;I217,'C30规则'!$J$5:$J$9,"&gt;="&amp;I217,'C30规则'!$K$5:$K$9,"&lt;="&amp;J217,'C30规则'!$L$5:$L$9,"&gt;="&amp;J217)=1,"通过","检查")</x:f>
        <x:v>通过</x:v>
      </x:c>
      <x:c r="O217" s="29" t="str">
        <x:v>RULE_DERIVED</x:v>
      </x:c>
    </x:row>
    <x:row r="218">
      <x:c r="A218" s="29" t="str">
        <x:v>C30-20260819-004</x:v>
      </x:c>
      <x:c r="B218" s="32" t="n">
        <x:v>46253.4375</x:v>
      </x:c>
      <x:c r="C218" s="29" t="str">
        <x:v>C30</x:v>
      </x:c>
      <x:c r="D218" s="29" t="str">
        <x:v>NORMAL</x:v>
      </x:c>
      <x:c r="E218" s="35" t="n">
        <x:v>57.8</x:v>
      </x:c>
      <x:c r="F218" s="41" t="str">
        <x:v>稠度适中，包裹性好，不泌水，不结块，泵送顺畅</x:v>
      </x:c>
      <x:c r="G218" s="38" t="n">
        <x:v>0</x:v>
      </x:c>
      <x:c r="H218" s="38" t="n">
        <x:v>180</x:v>
      </x:c>
      <x:c r="I218" s="38" t="n">
        <x:v>552</x:v>
      </x:c>
      <x:c r="J218" s="35" t="n">
        <x:v>3.6</x:v>
      </x:c>
      <x:c r="K218" s="29" t="str">
        <x:v>合格</x:v>
      </x:c>
      <x:c r="L218" s="41" t="str">
        <x:v>终止搅拌，直接出料；同步记录台账，留存实测参数备查。</x:v>
      </x:c>
      <x:c r="M218" s="29" t="str">
        <x:v>否</x:v>
      </x:c>
      <x:c r="N218" s="29" t="str">
        <x:f>IF(COUNTIFS('C30规则'!$A$5:$A$9,D218,'C30规则'!$C$5:$C$9,"&lt;="&amp;E218,'C30规则'!$D$5:$D$9,"&gt;="&amp;E218,'C30规则'!$E$5:$E$9,"&lt;="&amp;G218,'C30规则'!$F$5:$F$9,"&gt;="&amp;G218,'C30规则'!$G$5:$G$9,"&lt;="&amp;H218,'C30规则'!$H$5:$H$9,"&gt;="&amp;H218,'C30规则'!$I$5:$I$9,"&lt;="&amp;I218,'C30规则'!$J$5:$J$9,"&gt;="&amp;I218,'C30规则'!$K$5:$K$9,"&lt;="&amp;J218,'C30规则'!$L$5:$L$9,"&gt;="&amp;J218)=1,"通过","检查")</x:f>
        <x:v>通过</x:v>
      </x:c>
      <x:c r="O218" s="29" t="str">
        <x:v>RULE_DERIVED</x:v>
      </x:c>
    </x:row>
    <x:row r="219">
      <x:c r="A219" s="29" t="str">
        <x:v>C30-20260819-005</x:v>
      </x:c>
      <x:c r="B219" s="32" t="n">
        <x:v>46253.467361111114</x:v>
      </x:c>
      <x:c r="C219" s="29" t="str">
        <x:v>C30</x:v>
      </x:c>
      <x:c r="D219" s="29" t="str">
        <x:v>WET_MILD</x:v>
      </x:c>
      <x:c r="E219" s="35" t="n">
        <x:v>50.2</x:v>
      </x:c>
      <x:c r="F219" s="41" t="str">
        <x:v>偏稀，流动性偏大，无泌水</x:v>
      </x:c>
      <x:c r="G219" s="38" t="n">
        <x:v>24</x:v>
      </x:c>
      <x:c r="H219" s="38" t="n">
        <x:v>204</x:v>
      </x:c>
      <x:c r="I219" s="38" t="n">
        <x:v>598</x:v>
      </x:c>
      <x:c r="J219" s="35" t="n">
        <x:v>2.1</x:v>
      </x:c>
      <x:c r="K219" s="29" t="str">
        <x:v>轻微异常</x:v>
      </x:c>
      <x:c r="L219" s="41" t="str">
        <x:v>加入5–8kg/m³干砂，搅拌30s后复测，达标后正常出料并观察泵送。</x:v>
      </x:c>
      <x:c r="M219" s="29" t="str">
        <x:v>是</x:v>
      </x:c>
      <x:c r="N219" s="29" t="str">
        <x:f>IF(COUNTIFS('C30规则'!$A$5:$A$9,D219,'C30规则'!$C$5:$C$9,"&lt;="&amp;E219,'C30规则'!$D$5:$D$9,"&gt;="&amp;E219,'C30规则'!$E$5:$E$9,"&lt;="&amp;G219,'C30规则'!$F$5:$F$9,"&gt;="&amp;G219,'C30规则'!$G$5:$G$9,"&lt;="&amp;H219,'C30规则'!$H$5:$H$9,"&gt;="&amp;H219,'C30规则'!$I$5:$I$9,"&lt;="&amp;I219,'C30规则'!$J$5:$J$9,"&gt;="&amp;I219,'C30规则'!$K$5:$K$9,"&lt;="&amp;J219,'C30规则'!$L$5:$L$9,"&gt;="&amp;J219)=1,"通过","检查")</x:f>
        <x:v>通过</x:v>
      </x:c>
      <x:c r="O219" s="29" t="str">
        <x:v>RULE_DERIVED</x:v>
      </x:c>
    </x:row>
    <x:row r="220">
      <x:c r="A220" s="29" t="str">
        <x:v>C30-20260819-006</x:v>
      </x:c>
      <x:c r="B220" s="32" t="n">
        <x:v>46253.50277777778</x:v>
      </x:c>
      <x:c r="C220" s="29" t="str">
        <x:v>C30</x:v>
      </x:c>
      <x:c r="D220" s="29" t="str">
        <x:v>DRY_SEVERE</x:v>
      </x:c>
      <x:c r="E220" s="35" t="n">
        <x:v>71.7</x:v>
      </x:c>
      <x:c r="F220" s="41" t="str">
        <x:v>干涩，结块，挂壁，流动性极差，无法泵送</x:v>
      </x:c>
      <x:c r="G220" s="38" t="n">
        <x:v>-43</x:v>
      </x:c>
      <x:c r="H220" s="38" t="n">
        <x:v>137</x:v>
      </x:c>
      <x:c r="I220" s="38" t="n">
        <x:v>485</x:v>
      </x:c>
      <x:c r="J220" s="35" t="n">
        <x:v>5.8</x:v>
      </x:c>
      <x:c r="K220" s="29" t="str">
        <x:v>不合格</x:v>
      </x:c>
      <x:c r="L220" s="41" t="str">
        <x:v>优先补加0.2%减水剂和5kg清水，搅拌60s后复测。</x:v>
      </x:c>
      <x:c r="M220" s="29" t="str">
        <x:v>是</x:v>
      </x:c>
      <x:c r="N220" s="29" t="str">
        <x:f>IF(COUNTIFS('C30规则'!$A$5:$A$9,D220,'C30规则'!$C$5:$C$9,"&lt;="&amp;E220,'C30规则'!$D$5:$D$9,"&gt;="&amp;E220,'C30规则'!$E$5:$E$9,"&lt;="&amp;G220,'C30规则'!$F$5:$F$9,"&gt;="&amp;G220,'C30规则'!$G$5:$G$9,"&lt;="&amp;H220,'C30规则'!$H$5:$H$9,"&gt;="&amp;H220,'C30规则'!$I$5:$I$9,"&lt;="&amp;I220,'C30规则'!$J$5:$J$9,"&gt;="&amp;I220,'C30规则'!$K$5:$K$9,"&lt;="&amp;J220,'C30规则'!$L$5:$L$9,"&gt;="&amp;J220)=1,"通过","检查")</x:f>
        <x:v>通过</x:v>
      </x:c>
      <x:c r="O220" s="29" t="str">
        <x:v>RULE_DERIVED</x:v>
      </x:c>
    </x:row>
    <x:row r="221">
      <x:c r="A221" s="29" t="str">
        <x:v>C30-20260819-007</x:v>
      </x:c>
      <x:c r="B221" s="32" t="n">
        <x:v>46253.5375</x:v>
      </x:c>
      <x:c r="C221" s="29" t="str">
        <x:v>C30</x:v>
      </x:c>
      <x:c r="D221" s="29" t="str">
        <x:v>NORMAL</x:v>
      </x:c>
      <x:c r="E221" s="35" t="n">
        <x:v>59.2</x:v>
      </x:c>
      <x:c r="F221" s="41" t="str">
        <x:v>稠度适中，包裹性好，不泌水，不结块，泵送顺畅</x:v>
      </x:c>
      <x:c r="G221" s="38" t="n">
        <x:v>-14</x:v>
      </x:c>
      <x:c r="H221" s="38" t="n">
        <x:v>166</x:v>
      </x:c>
      <x:c r="I221" s="38" t="n">
        <x:v>536</x:v>
      </x:c>
      <x:c r="J221" s="35" t="n">
        <x:v>4.2</x:v>
      </x:c>
      <x:c r="K221" s="29" t="str">
        <x:v>合格</x:v>
      </x:c>
      <x:c r="L221" s="41" t="str">
        <x:v>终止搅拌，直接出料；同步记录台账，留存实测参数备查。</x:v>
      </x:c>
      <x:c r="M221" s="29" t="str">
        <x:v>否</x:v>
      </x:c>
      <x:c r="N221" s="29" t="str">
        <x:f>IF(COUNTIFS('C30规则'!$A$5:$A$9,D221,'C30规则'!$C$5:$C$9,"&lt;="&amp;E221,'C30规则'!$D$5:$D$9,"&gt;="&amp;E221,'C30规则'!$E$5:$E$9,"&lt;="&amp;G221,'C30规则'!$F$5:$F$9,"&gt;="&amp;G221,'C30规则'!$G$5:$G$9,"&lt;="&amp;H221,'C30规则'!$H$5:$H$9,"&gt;="&amp;H221,'C30规则'!$I$5:$I$9,"&lt;="&amp;I221,'C30规则'!$J$5:$J$9,"&gt;="&amp;I221,'C30规则'!$K$5:$K$9,"&lt;="&amp;J221,'C30规则'!$L$5:$L$9,"&gt;="&amp;J221)=1,"通过","检查")</x:f>
        <x:v>通过</x:v>
      </x:c>
      <x:c r="O221" s="29" t="str">
        <x:v>RULE_DERIVED</x:v>
      </x:c>
    </x:row>
    <x:row r="222">
      <x:c r="A222" s="29" t="str">
        <x:v>C30-20260819-008</x:v>
      </x:c>
      <x:c r="B222" s="32" t="n">
        <x:v>46253.56875</x:v>
      </x:c>
      <x:c r="C222" s="29" t="str">
        <x:v>C30</x:v>
      </x:c>
      <x:c r="D222" s="29" t="str">
        <x:v>NORMAL</x:v>
      </x:c>
      <x:c r="E222" s="35" t="n">
        <x:v>56.3</x:v>
      </x:c>
      <x:c r="F222" s="41" t="str">
        <x:v>稠度适中，包裹性好，不泌水，不结块，泵送顺畅</x:v>
      </x:c>
      <x:c r="G222" s="38" t="n">
        <x:v>8</x:v>
      </x:c>
      <x:c r="H222" s="38" t="n">
        <x:v>188</x:v>
      </x:c>
      <x:c r="I222" s="38" t="n">
        <x:v>563</x:v>
      </x:c>
      <x:c r="J222" s="35" t="n">
        <x:v>3</x:v>
      </x:c>
      <x:c r="K222" s="29" t="str">
        <x:v>合格</x:v>
      </x:c>
      <x:c r="L222" s="41" t="str">
        <x:v>终止搅拌，直接出料；同步记录台账，留存实测参数备查。</x:v>
      </x:c>
      <x:c r="M222" s="29" t="str">
        <x:v>否</x:v>
      </x:c>
      <x:c r="N222" s="29" t="str">
        <x:f>IF(COUNTIFS('C30规则'!$A$5:$A$9,D222,'C30规则'!$C$5:$C$9,"&lt;="&amp;E222,'C30规则'!$D$5:$D$9,"&gt;="&amp;E222,'C30规则'!$E$5:$E$9,"&lt;="&amp;G222,'C30规则'!$F$5:$F$9,"&gt;="&amp;G222,'C30规则'!$G$5:$G$9,"&lt;="&amp;H222,'C30规则'!$H$5:$H$9,"&gt;="&amp;H222,'C30规则'!$I$5:$I$9,"&lt;="&amp;I222,'C30规则'!$J$5:$J$9,"&gt;="&amp;I222,'C30规则'!$K$5:$K$9,"&lt;="&amp;J222,'C30规则'!$L$5:$L$9,"&gt;="&amp;J222)=1,"通过","检查")</x:f>
        <x:v>通过</x:v>
      </x:c>
      <x:c r="O222" s="29" t="str">
        <x:v>RULE_DERIVED</x:v>
      </x:c>
    </x:row>
    <x:row r="223">
      <x:c r="A223" s="29" t="str">
        <x:v>C30-20260819-009</x:v>
      </x:c>
      <x:c r="B223" s="32" t="n">
        <x:v>46253.60208333333</x:v>
      </x:c>
      <x:c r="C223" s="29" t="str">
        <x:v>C30</x:v>
      </x:c>
      <x:c r="D223" s="29" t="str">
        <x:v>NORMAL</x:v>
      </x:c>
      <x:c r="E223" s="35" t="n">
        <x:v>56.3</x:v>
      </x:c>
      <x:c r="F223" s="41" t="str">
        <x:v>稠度适中，包裹性好，不泌水，不结块，泵送顺畅</x:v>
      </x:c>
      <x:c r="G223" s="38" t="n">
        <x:v>8</x:v>
      </x:c>
      <x:c r="H223" s="38" t="n">
        <x:v>188</x:v>
      </x:c>
      <x:c r="I223" s="38" t="n">
        <x:v>553</x:v>
      </x:c>
      <x:c r="J223" s="35" t="n">
        <x:v>3.1</x:v>
      </x:c>
      <x:c r="K223" s="29" t="str">
        <x:v>合格</x:v>
      </x:c>
      <x:c r="L223" s="41" t="str">
        <x:v>终止搅拌，直接出料；同步记录台账，留存实测参数备查。</x:v>
      </x:c>
      <x:c r="M223" s="29" t="str">
        <x:v>否</x:v>
      </x:c>
      <x:c r="N223" s="29" t="str">
        <x:f>IF(COUNTIFS('C30规则'!$A$5:$A$9,D223,'C30规则'!$C$5:$C$9,"&lt;="&amp;E223,'C30规则'!$D$5:$D$9,"&gt;="&amp;E223,'C30规则'!$E$5:$E$9,"&lt;="&amp;G223,'C30规则'!$F$5:$F$9,"&gt;="&amp;G223,'C30规则'!$G$5:$G$9,"&lt;="&amp;H223,'C30规则'!$H$5:$H$9,"&gt;="&amp;H223,'C30规则'!$I$5:$I$9,"&lt;="&amp;I223,'C30规则'!$J$5:$J$9,"&gt;="&amp;I223,'C30规则'!$K$5:$K$9,"&lt;="&amp;J223,'C30规则'!$L$5:$L$9,"&gt;="&amp;J223)=1,"通过","检查")</x:f>
        <x:v>通过</x:v>
      </x:c>
      <x:c r="O223" s="29" t="str">
        <x:v>RULE_DERIVED</x:v>
      </x:c>
    </x:row>
    <x:row r="224">
      <x:c r="A224" s="29" t="str">
        <x:v>C30-20260819-010</x:v>
      </x:c>
      <x:c r="B224" s="32" t="n">
        <x:v>46253.63611111111</x:v>
      </x:c>
      <x:c r="C224" s="29" t="str">
        <x:v>C30</x:v>
      </x:c>
      <x:c r="D224" s="29" t="str">
        <x:v>NORMAL</x:v>
      </x:c>
      <x:c r="E224" s="35" t="n">
        <x:v>58.2</x:v>
      </x:c>
      <x:c r="F224" s="41" t="str">
        <x:v>稠度适中，包裹性好，不泌水，不结块，泵送顺畅</x:v>
      </x:c>
      <x:c r="G224" s="38" t="n">
        <x:v>-6</x:v>
      </x:c>
      <x:c r="H224" s="38" t="n">
        <x:v>174</x:v>
      </x:c>
      <x:c r="I224" s="38" t="n">
        <x:v>549</x:v>
      </x:c>
      <x:c r="J224" s="35" t="n">
        <x:v>3.8</x:v>
      </x:c>
      <x:c r="K224" s="29" t="str">
        <x:v>合格</x:v>
      </x:c>
      <x:c r="L224" s="41" t="str">
        <x:v>终止搅拌，直接出料；同步记录台账，留存实测参数备查。</x:v>
      </x:c>
      <x:c r="M224" s="29" t="str">
        <x:v>否</x:v>
      </x:c>
      <x:c r="N224" s="29" t="str">
        <x:f>IF(COUNTIFS('C30规则'!$A$5:$A$9,D224,'C30规则'!$C$5:$C$9,"&lt;="&amp;E224,'C30规则'!$D$5:$D$9,"&gt;="&amp;E224,'C30规则'!$E$5:$E$9,"&lt;="&amp;G224,'C30规则'!$F$5:$F$9,"&gt;="&amp;G224,'C30规则'!$G$5:$G$9,"&lt;="&amp;H224,'C30规则'!$H$5:$H$9,"&gt;="&amp;H224,'C30规则'!$I$5:$I$9,"&lt;="&amp;I224,'C30规则'!$J$5:$J$9,"&gt;="&amp;I224,'C30规则'!$K$5:$K$9,"&lt;="&amp;J224,'C30规则'!$L$5:$L$9,"&gt;="&amp;J224)=1,"通过","检查")</x:f>
        <x:v>通过</x:v>
      </x:c>
      <x:c r="O224" s="29" t="str">
        <x:v>RULE_DERIVED</x:v>
      </x:c>
    </x:row>
    <x:row r="225">
      <x:c r="A225" s="29" t="str">
        <x:v>C30-20260820-001</x:v>
      </x:c>
      <x:c r="B225" s="32" t="n">
        <x:v>46254.334027777775</x:v>
      </x:c>
      <x:c r="C225" s="29" t="str">
        <x:v>C30</x:v>
      </x:c>
      <x:c r="D225" s="29" t="str">
        <x:v>NORMAL</x:v>
      </x:c>
      <x:c r="E225" s="35" t="n">
        <x:v>58.4</x:v>
      </x:c>
      <x:c r="F225" s="41" t="str">
        <x:v>稠度适中，包裹性好，不泌水，不结块，泵送顺畅</x:v>
      </x:c>
      <x:c r="G225" s="38" t="n">
        <x:v>-4</x:v>
      </x:c>
      <x:c r="H225" s="38" t="n">
        <x:v>176</x:v>
      </x:c>
      <x:c r="I225" s="38" t="n">
        <x:v>536</x:v>
      </x:c>
      <x:c r="J225" s="35" t="n">
        <x:v>3.9</x:v>
      </x:c>
      <x:c r="K225" s="29" t="str">
        <x:v>合格</x:v>
      </x:c>
      <x:c r="L225" s="41" t="str">
        <x:v>终止搅拌，直接出料；同步记录台账，留存实测参数备查。</x:v>
      </x:c>
      <x:c r="M225" s="29" t="str">
        <x:v>否</x:v>
      </x:c>
      <x:c r="N225" s="29" t="str">
        <x:f>IF(COUNTIFS('C30规则'!$A$5:$A$9,D225,'C30规则'!$C$5:$C$9,"&lt;="&amp;E225,'C30规则'!$D$5:$D$9,"&gt;="&amp;E225,'C30规则'!$E$5:$E$9,"&lt;="&amp;G225,'C30规则'!$F$5:$F$9,"&gt;="&amp;G225,'C30规则'!$G$5:$G$9,"&lt;="&amp;H225,'C30规则'!$H$5:$H$9,"&gt;="&amp;H225,'C30规则'!$I$5:$I$9,"&lt;="&amp;I225,'C30规则'!$J$5:$J$9,"&gt;="&amp;I225,'C30规则'!$K$5:$K$9,"&lt;="&amp;J225,'C30规则'!$L$5:$L$9,"&gt;="&amp;J225)=1,"通过","检查")</x:f>
        <x:v>通过</x:v>
      </x:c>
      <x:c r="O225" s="29" t="str">
        <x:v>RULE_DERIVED</x:v>
      </x:c>
    </x:row>
    <x:row r="226">
      <x:c r="A226" s="29" t="str">
        <x:v>C30-20260820-002</x:v>
      </x:c>
      <x:c r="B226" s="32" t="n">
        <x:v>46254.37013888889</x:v>
      </x:c>
      <x:c r="C226" s="29" t="str">
        <x:v>C30</x:v>
      </x:c>
      <x:c r="D226" s="29" t="str">
        <x:v>NORMAL</x:v>
      </x:c>
      <x:c r="E226" s="35" t="n">
        <x:v>55.7</x:v>
      </x:c>
      <x:c r="F226" s="41" t="str">
        <x:v>稠度适中，包裹性好，不泌水，不结块，泵送顺畅</x:v>
      </x:c>
      <x:c r="G226" s="38" t="n">
        <x:v>14</x:v>
      </x:c>
      <x:c r="H226" s="38" t="n">
        <x:v>194</x:v>
      </x:c>
      <x:c r="I226" s="38" t="n">
        <x:v>568</x:v>
      </x:c>
      <x:c r="J226" s="35" t="n">
        <x:v>2.8</x:v>
      </x:c>
      <x:c r="K226" s="29" t="str">
        <x:v>合格</x:v>
      </x:c>
      <x:c r="L226" s="41" t="str">
        <x:v>终止搅拌，直接出料；同步记录台账，留存实测参数备查。</x:v>
      </x:c>
      <x:c r="M226" s="29" t="str">
        <x:v>否</x:v>
      </x:c>
      <x:c r="N226" s="29" t="str">
        <x:f>IF(COUNTIFS('C30规则'!$A$5:$A$9,D226,'C30规则'!$C$5:$C$9,"&lt;="&amp;E226,'C30规则'!$D$5:$D$9,"&gt;="&amp;E226,'C30规则'!$E$5:$E$9,"&lt;="&amp;G226,'C30规则'!$F$5:$F$9,"&gt;="&amp;G226,'C30规则'!$G$5:$G$9,"&lt;="&amp;H226,'C30规则'!$H$5:$H$9,"&gt;="&amp;H226,'C30规则'!$I$5:$I$9,"&lt;="&amp;I226,'C30规则'!$J$5:$J$9,"&gt;="&amp;I226,'C30规则'!$K$5:$K$9,"&lt;="&amp;J226,'C30规则'!$L$5:$L$9,"&gt;="&amp;J226)=1,"通过","检查")</x:f>
        <x:v>通过</x:v>
      </x:c>
      <x:c r="O226" s="29" t="str">
        <x:v>RULE_DERIVED</x:v>
      </x:c>
    </x:row>
    <x:row r="227">
      <x:c r="A227" s="29" t="str">
        <x:v>C30-20260820-003</x:v>
      </x:c>
      <x:c r="B227" s="32" t="n">
        <x:v>46254.40138888889</x:v>
      </x:c>
      <x:c r="C227" s="29" t="str">
        <x:v>C30</x:v>
      </x:c>
      <x:c r="D227" s="29" t="str">
        <x:v>NORMAL</x:v>
      </x:c>
      <x:c r="E227" s="35" t="n">
        <x:v>57.7</x:v>
      </x:c>
      <x:c r="F227" s="41" t="str">
        <x:v>稠度适中，包裹性好，不泌水，不结块，泵送顺畅</x:v>
      </x:c>
      <x:c r="G227" s="38" t="n">
        <x:v>1</x:v>
      </x:c>
      <x:c r="H227" s="38" t="n">
        <x:v>181</x:v>
      </x:c>
      <x:c r="I227" s="38" t="n">
        <x:v>554</x:v>
      </x:c>
      <x:c r="J227" s="35" t="n">
        <x:v>3.7</x:v>
      </x:c>
      <x:c r="K227" s="29" t="str">
        <x:v>合格</x:v>
      </x:c>
      <x:c r="L227" s="41" t="str">
        <x:v>终止搅拌，直接出料；同步记录台账，留存实测参数备查。</x:v>
      </x:c>
      <x:c r="M227" s="29" t="str">
        <x:v>否</x:v>
      </x:c>
      <x:c r="N227" s="29" t="str">
        <x:f>IF(COUNTIFS('C30规则'!$A$5:$A$9,D227,'C30规则'!$C$5:$C$9,"&lt;="&amp;E227,'C30规则'!$D$5:$D$9,"&gt;="&amp;E227,'C30规则'!$E$5:$E$9,"&lt;="&amp;G227,'C30规则'!$F$5:$F$9,"&gt;="&amp;G227,'C30规则'!$G$5:$G$9,"&lt;="&amp;H227,'C30规则'!$H$5:$H$9,"&gt;="&amp;H227,'C30规则'!$I$5:$I$9,"&lt;="&amp;I227,'C30规则'!$J$5:$J$9,"&gt;="&amp;I227,'C30规则'!$K$5:$K$9,"&lt;="&amp;J227,'C30规则'!$L$5:$L$9,"&gt;="&amp;J227)=1,"通过","检查")</x:f>
        <x:v>通过</x:v>
      </x:c>
      <x:c r="O227" s="29" t="str">
        <x:v>RULE_DERIVED</x:v>
      </x:c>
    </x:row>
    <x:row r="228">
      <x:c r="A228" s="29" t="str">
        <x:v>C30-20260820-004</x:v>
      </x:c>
      <x:c r="B228" s="32" t="n">
        <x:v>46254.43819444445</x:v>
      </x:c>
      <x:c r="C228" s="29" t="str">
        <x:v>C30</x:v>
      </x:c>
      <x:c r="D228" s="29" t="str">
        <x:v>NORMAL</x:v>
      </x:c>
      <x:c r="E228" s="35" t="n">
        <x:v>58.7</x:v>
      </x:c>
      <x:c r="F228" s="41" t="str">
        <x:v>稠度适中，包裹性好，不泌水，不结块，泵送顺畅</x:v>
      </x:c>
      <x:c r="G228" s="38" t="n">
        <x:v>-7</x:v>
      </x:c>
      <x:c r="H228" s="38" t="n">
        <x:v>173</x:v>
      </x:c>
      <x:c r="I228" s="38" t="n">
        <x:v>540</x:v>
      </x:c>
      <x:c r="J228" s="35" t="n">
        <x:v>4</x:v>
      </x:c>
      <x:c r="K228" s="29" t="str">
        <x:v>合格</x:v>
      </x:c>
      <x:c r="L228" s="41" t="str">
        <x:v>终止搅拌，直接出料；同步记录台账，留存实测参数备查。</x:v>
      </x:c>
      <x:c r="M228" s="29" t="str">
        <x:v>否</x:v>
      </x:c>
      <x:c r="N228" s="29" t="str">
        <x:f>IF(COUNTIFS('C30规则'!$A$5:$A$9,D228,'C30规则'!$C$5:$C$9,"&lt;="&amp;E228,'C30规则'!$D$5:$D$9,"&gt;="&amp;E228,'C30规则'!$E$5:$E$9,"&lt;="&amp;G228,'C30规则'!$F$5:$F$9,"&gt;="&amp;G228,'C30规则'!$G$5:$G$9,"&lt;="&amp;H228,'C30规则'!$H$5:$H$9,"&gt;="&amp;H228,'C30规则'!$I$5:$I$9,"&lt;="&amp;I228,'C30规则'!$J$5:$J$9,"&gt;="&amp;I228,'C30规则'!$K$5:$K$9,"&lt;="&amp;J228,'C30规则'!$L$5:$L$9,"&gt;="&amp;J228)=1,"通过","检查")</x:f>
        <x:v>通过</x:v>
      </x:c>
      <x:c r="O228" s="29" t="str">
        <x:v>RULE_DERIVED</x:v>
      </x:c>
    </x:row>
    <x:row r="229">
      <x:c r="A229" s="29" t="str">
        <x:v>C30-20260820-005</x:v>
      </x:c>
      <x:c r="B229" s="32" t="n">
        <x:v>46254.47152777778</x:v>
      </x:c>
      <x:c r="C229" s="29" t="str">
        <x:v>C30</x:v>
      </x:c>
      <x:c r="D229" s="29" t="str">
        <x:v>DRY_MILD</x:v>
      </x:c>
      <x:c r="E229" s="35" t="n">
        <x:v>64.2</x:v>
      </x:c>
      <x:c r="F229" s="41" t="str">
        <x:v>偏干，骨料微裸露，流动性偏弱</x:v>
      </x:c>
      <x:c r="G229" s="38" t="n">
        <x:v>-26</x:v>
      </x:c>
      <x:c r="H229" s="38" t="n">
        <x:v>154</x:v>
      </x:c>
      <x:c r="I229" s="38" t="n">
        <x:v>517</x:v>
      </x:c>
      <x:c r="J229" s="35" t="n">
        <x:v>4.8</x:v>
      </x:c>
      <x:c r="K229" s="29" t="str">
        <x:v>轻微异常</x:v>
      </x:c>
      <x:c r="L229" s="41" t="str">
        <x:v>优先增加聚羧酸减水剂掺量0.1%，搅拌30s后复测，达标后出料。</x:v>
      </x:c>
      <x:c r="M229" s="29" t="str">
        <x:v>是</x:v>
      </x:c>
      <x:c r="N229" s="29" t="str">
        <x:f>IF(COUNTIFS('C30规则'!$A$5:$A$9,D229,'C30规则'!$C$5:$C$9,"&lt;="&amp;E229,'C30规则'!$D$5:$D$9,"&gt;="&amp;E229,'C30规则'!$E$5:$E$9,"&lt;="&amp;G229,'C30规则'!$F$5:$F$9,"&gt;="&amp;G229,'C30规则'!$G$5:$G$9,"&lt;="&amp;H229,'C30规则'!$H$5:$H$9,"&gt;="&amp;H229,'C30规则'!$I$5:$I$9,"&lt;="&amp;I229,'C30规则'!$J$5:$J$9,"&gt;="&amp;I229,'C30规则'!$K$5:$K$9,"&lt;="&amp;J229,'C30规则'!$L$5:$L$9,"&gt;="&amp;J229)=1,"通过","检查")</x:f>
        <x:v>通过</x:v>
      </x:c>
      <x:c r="O229" s="29" t="str">
        <x:v>RULE_DERIVED</x:v>
      </x:c>
    </x:row>
    <x:row r="230">
      <x:c r="A230" s="29" t="str">
        <x:v>C30-20260820-006</x:v>
      </x:c>
      <x:c r="B230" s="32" t="n">
        <x:v>46254.50347222222</x:v>
      </x:c>
      <x:c r="C230" s="29" t="str">
        <x:v>C30</x:v>
      </x:c>
      <x:c r="D230" s="29" t="str">
        <x:v>DRY_MILD</x:v>
      </x:c>
      <x:c r="E230" s="35" t="n">
        <x:v>67.9</x:v>
      </x:c>
      <x:c r="F230" s="41" t="str">
        <x:v>偏干，骨料微裸露，流动性偏弱</x:v>
      </x:c>
      <x:c r="G230" s="38" t="n">
        <x:v>-29</x:v>
      </x:c>
      <x:c r="H230" s="38" t="n">
        <x:v>151</x:v>
      </x:c>
      <x:c r="I230" s="38" t="n">
        <x:v>510</x:v>
      </x:c>
      <x:c r="J230" s="35" t="n">
        <x:v>5.2</x:v>
      </x:c>
      <x:c r="K230" s="29" t="str">
        <x:v>轻微异常</x:v>
      </x:c>
      <x:c r="L230" s="41" t="str">
        <x:v>优先增加聚羧酸减水剂掺量0.1%，搅拌30s后复测，达标后出料。</x:v>
      </x:c>
      <x:c r="M230" s="29" t="str">
        <x:v>是</x:v>
      </x:c>
      <x:c r="N230" s="29" t="str">
        <x:f>IF(COUNTIFS('C30规则'!$A$5:$A$9,D230,'C30规则'!$C$5:$C$9,"&lt;="&amp;E230,'C30规则'!$D$5:$D$9,"&gt;="&amp;E230,'C30规则'!$E$5:$E$9,"&lt;="&amp;G230,'C30规则'!$F$5:$F$9,"&gt;="&amp;G230,'C30规则'!$G$5:$G$9,"&lt;="&amp;H230,'C30规则'!$H$5:$H$9,"&gt;="&amp;H230,'C30规则'!$I$5:$I$9,"&lt;="&amp;I230,'C30规则'!$J$5:$J$9,"&gt;="&amp;I230,'C30规则'!$K$5:$K$9,"&lt;="&amp;J230,'C30规则'!$L$5:$L$9,"&gt;="&amp;J230)=1,"通过","检查")</x:f>
        <x:v>通过</x:v>
      </x:c>
      <x:c r="O230" s="29" t="str">
        <x:v>RULE_DERIVED</x:v>
      </x:c>
    </x:row>
    <x:row r="231">
      <x:c r="A231" s="29" t="str">
        <x:v>C30-20260820-007</x:v>
      </x:c>
      <x:c r="B231" s="32" t="n">
        <x:v>46254.538194444445</x:v>
      </x:c>
      <x:c r="C231" s="29" t="str">
        <x:v>C30</x:v>
      </x:c>
      <x:c r="D231" s="29" t="str">
        <x:v>DRY_MILD</x:v>
      </x:c>
      <x:c r="E231" s="35" t="n">
        <x:v>67.1</x:v>
      </x:c>
      <x:c r="F231" s="41" t="str">
        <x:v>偏干，骨料微裸露，流动性偏弱</x:v>
      </x:c>
      <x:c r="G231" s="38" t="n">
        <x:v>-28</x:v>
      </x:c>
      <x:c r="H231" s="38" t="n">
        <x:v>152</x:v>
      </x:c>
      <x:c r="I231" s="38" t="n">
        <x:v>510</x:v>
      </x:c>
      <x:c r="J231" s="35" t="n">
        <x:v>5.1</x:v>
      </x:c>
      <x:c r="K231" s="29" t="str">
        <x:v>轻微异常</x:v>
      </x:c>
      <x:c r="L231" s="41" t="str">
        <x:v>优先增加聚羧酸减水剂掺量0.1%，搅拌30s后复测，达标后出料。</x:v>
      </x:c>
      <x:c r="M231" s="29" t="str">
        <x:v>是</x:v>
      </x:c>
      <x:c r="N231" s="29" t="str">
        <x:f>IF(COUNTIFS('C30规则'!$A$5:$A$9,D231,'C30规则'!$C$5:$C$9,"&lt;="&amp;E231,'C30规则'!$D$5:$D$9,"&gt;="&amp;E231,'C30规则'!$E$5:$E$9,"&lt;="&amp;G231,'C30规则'!$F$5:$F$9,"&gt;="&amp;G231,'C30规则'!$G$5:$G$9,"&lt;="&amp;H231,'C30规则'!$H$5:$H$9,"&gt;="&amp;H231,'C30规则'!$I$5:$I$9,"&lt;="&amp;I231,'C30规则'!$J$5:$J$9,"&gt;="&amp;I231,'C30规则'!$K$5:$K$9,"&lt;="&amp;J231,'C30规则'!$L$5:$L$9,"&gt;="&amp;J231)=1,"通过","检查")</x:f>
        <x:v>通过</x:v>
      </x:c>
      <x:c r="O231" s="29" t="str">
        <x:v>RULE_DERIVED</x:v>
      </x:c>
    </x:row>
    <x:row r="232">
      <x:c r="A232" s="29" t="str">
        <x:v>C30-20260820-008</x:v>
      </x:c>
      <x:c r="B232" s="32" t="n">
        <x:v>46254.57152777778</x:v>
      </x:c>
      <x:c r="C232" s="29" t="str">
        <x:v>C30</x:v>
      </x:c>
      <x:c r="D232" s="29" t="str">
        <x:v>NORMAL</x:v>
      </x:c>
      <x:c r="E232" s="35" t="n">
        <x:v>56.3</x:v>
      </x:c>
      <x:c r="F232" s="41" t="str">
        <x:v>稠度适中，包裹性好，不泌水，不结块，泵送顺畅</x:v>
      </x:c>
      <x:c r="G232" s="38" t="n">
        <x:v>13</x:v>
      </x:c>
      <x:c r="H232" s="38" t="n">
        <x:v>193</x:v>
      </x:c>
      <x:c r="I232" s="38" t="n">
        <x:v>566</x:v>
      </x:c>
      <x:c r="J232" s="35" t="n">
        <x:v>2.9</x:v>
      </x:c>
      <x:c r="K232" s="29" t="str">
        <x:v>合格</x:v>
      </x:c>
      <x:c r="L232" s="41" t="str">
        <x:v>终止搅拌，直接出料；同步记录台账，留存实测参数备查。</x:v>
      </x:c>
      <x:c r="M232" s="29" t="str">
        <x:v>否</x:v>
      </x:c>
      <x:c r="N232" s="29" t="str">
        <x:f>IF(COUNTIFS('C30规则'!$A$5:$A$9,D232,'C30规则'!$C$5:$C$9,"&lt;="&amp;E232,'C30规则'!$D$5:$D$9,"&gt;="&amp;E232,'C30规则'!$E$5:$E$9,"&lt;="&amp;G232,'C30规则'!$F$5:$F$9,"&gt;="&amp;G232,'C30规则'!$G$5:$G$9,"&lt;="&amp;H232,'C30规则'!$H$5:$H$9,"&gt;="&amp;H232,'C30规则'!$I$5:$I$9,"&lt;="&amp;I232,'C30规则'!$J$5:$J$9,"&gt;="&amp;I232,'C30规则'!$K$5:$K$9,"&lt;="&amp;J232,'C30规则'!$L$5:$L$9,"&gt;="&amp;J232)=1,"通过","检查")</x:f>
        <x:v>通过</x:v>
      </x:c>
      <x:c r="O232" s="29" t="str">
        <x:v>RULE_DERIVED</x:v>
      </x:c>
    </x:row>
    <x:row r="233">
      <x:c r="A233" s="29" t="str">
        <x:v>C30-20260820-009</x:v>
      </x:c>
      <x:c r="B233" s="32" t="n">
        <x:v>46254.6</x:v>
      </x:c>
      <x:c r="C233" s="29" t="str">
        <x:v>C30</x:v>
      </x:c>
      <x:c r="D233" s="29" t="str">
        <x:v>NORMAL</x:v>
      </x:c>
      <x:c r="E233" s="35" t="n">
        <x:v>58.7</x:v>
      </x:c>
      <x:c r="F233" s="41" t="str">
        <x:v>稠度适中，包裹性好，不泌水，不结块，泵送顺畅</x:v>
      </x:c>
      <x:c r="G233" s="38" t="n">
        <x:v>-10</x:v>
      </x:c>
      <x:c r="H233" s="38" t="n">
        <x:v>170</x:v>
      </x:c>
      <x:c r="I233" s="38" t="n">
        <x:v>541</x:v>
      </x:c>
      <x:c r="J233" s="35" t="n">
        <x:v>4</x:v>
      </x:c>
      <x:c r="K233" s="29" t="str">
        <x:v>合格</x:v>
      </x:c>
      <x:c r="L233" s="41" t="str">
        <x:v>终止搅拌，直接出料；同步记录台账，留存实测参数备查。</x:v>
      </x:c>
      <x:c r="M233" s="29" t="str">
        <x:v>否</x:v>
      </x:c>
      <x:c r="N233" s="29" t="str">
        <x:f>IF(COUNTIFS('C30规则'!$A$5:$A$9,D233,'C30规则'!$C$5:$C$9,"&lt;="&amp;E233,'C30规则'!$D$5:$D$9,"&gt;="&amp;E233,'C30规则'!$E$5:$E$9,"&lt;="&amp;G233,'C30规则'!$F$5:$F$9,"&gt;="&amp;G233,'C30规则'!$G$5:$G$9,"&lt;="&amp;H233,'C30规则'!$H$5:$H$9,"&gt;="&amp;H233,'C30规则'!$I$5:$I$9,"&lt;="&amp;I233,'C30规则'!$J$5:$J$9,"&gt;="&amp;I233,'C30规则'!$K$5:$K$9,"&lt;="&amp;J233,'C30规则'!$L$5:$L$9,"&gt;="&amp;J233)=1,"通过","检查")</x:f>
        <x:v>通过</x:v>
      </x:c>
      <x:c r="O233" s="29" t="str">
        <x:v>RULE_DERIVED</x:v>
      </x:c>
    </x:row>
    <x:row r="234">
      <x:c r="A234" s="29" t="str">
        <x:v>C30-20260820-010</x:v>
      </x:c>
      <x:c r="B234" s="32" t="n">
        <x:v>46254.638194444444</x:v>
      </x:c>
      <x:c r="C234" s="29" t="str">
        <x:v>C30</x:v>
      </x:c>
      <x:c r="D234" s="29" t="str">
        <x:v>NORMAL</x:v>
      </x:c>
      <x:c r="E234" s="35" t="n">
        <x:v>57.6</x:v>
      </x:c>
      <x:c r="F234" s="41" t="str">
        <x:v>稠度适中，包裹性好，不泌水，不结块，泵送顺畅</x:v>
      </x:c>
      <x:c r="G234" s="38" t="n">
        <x:v>2</x:v>
      </x:c>
      <x:c r="H234" s="38" t="n">
        <x:v>182</x:v>
      </x:c>
      <x:c r="I234" s="38" t="n">
        <x:v>555</x:v>
      </x:c>
      <x:c r="J234" s="35" t="n">
        <x:v>3.6</x:v>
      </x:c>
      <x:c r="K234" s="29" t="str">
        <x:v>合格</x:v>
      </x:c>
      <x:c r="L234" s="41" t="str">
        <x:v>终止搅拌，直接出料；同步记录台账，留存实测参数备查。</x:v>
      </x:c>
      <x:c r="M234" s="29" t="str">
        <x:v>否</x:v>
      </x:c>
      <x:c r="N234" s="29" t="str">
        <x:f>IF(COUNTIFS('C30规则'!$A$5:$A$9,D234,'C30规则'!$C$5:$C$9,"&lt;="&amp;E234,'C30规则'!$D$5:$D$9,"&gt;="&amp;E234,'C30规则'!$E$5:$E$9,"&lt;="&amp;G234,'C30规则'!$F$5:$F$9,"&gt;="&amp;G234,'C30规则'!$G$5:$G$9,"&lt;="&amp;H234,'C30规则'!$H$5:$H$9,"&gt;="&amp;H234,'C30规则'!$I$5:$I$9,"&lt;="&amp;I234,'C30规则'!$J$5:$J$9,"&gt;="&amp;I234,'C30规则'!$K$5:$K$9,"&lt;="&amp;J234,'C30规则'!$L$5:$L$9,"&gt;="&amp;J234)=1,"通过","检查")</x:f>
        <x:v>通过</x:v>
      </x:c>
      <x:c r="O234" s="29" t="str">
        <x:v>RULE_DERIVED</x:v>
      </x:c>
    </x:row>
    <x:row r="235">
      <x:c r="A235" s="29" t="str">
        <x:v>C30-20260821-001</x:v>
      </x:c>
      <x:c r="B235" s="32" t="n">
        <x:v>46255.333333333336</x:v>
      </x:c>
      <x:c r="C235" s="29" t="str">
        <x:v>C30</x:v>
      </x:c>
      <x:c r="D235" s="29" t="str">
        <x:v>WET_MILD</x:v>
      </x:c>
      <x:c r="E235" s="35" t="n">
        <x:v>51.7</x:v>
      </x:c>
      <x:c r="F235" s="41" t="str">
        <x:v>偏稀，流动性偏大，无泌水</x:v>
      </x:c>
      <x:c r="G235" s="38" t="n">
        <x:v>24</x:v>
      </x:c>
      <x:c r="H235" s="38" t="n">
        <x:v>204</x:v>
      </x:c>
      <x:c r="I235" s="38" t="n">
        <x:v>594</x:v>
      </x:c>
      <x:c r="J235" s="35" t="n">
        <x:v>2.1</x:v>
      </x:c>
      <x:c r="K235" s="29" t="str">
        <x:v>轻微异常</x:v>
      </x:c>
      <x:c r="L235" s="41" t="str">
        <x:v>加入5–8kg/m³干砂，搅拌30s后复测，达标后正常出料并观察泵送。</x:v>
      </x:c>
      <x:c r="M235" s="29" t="str">
        <x:v>是</x:v>
      </x:c>
      <x:c r="N235" s="29" t="str">
        <x:f>IF(COUNTIFS('C30规则'!$A$5:$A$9,D235,'C30规则'!$C$5:$C$9,"&lt;="&amp;E235,'C30规则'!$D$5:$D$9,"&gt;="&amp;E235,'C30规则'!$E$5:$E$9,"&lt;="&amp;G235,'C30规则'!$F$5:$F$9,"&gt;="&amp;G235,'C30规则'!$G$5:$G$9,"&lt;="&amp;H235,'C30规则'!$H$5:$H$9,"&gt;="&amp;H235,'C30规则'!$I$5:$I$9,"&lt;="&amp;I235,'C30规则'!$J$5:$J$9,"&gt;="&amp;I235,'C30规则'!$K$5:$K$9,"&lt;="&amp;J235,'C30规则'!$L$5:$L$9,"&gt;="&amp;J235)=1,"通过","检查")</x:f>
        <x:v>通过</x:v>
      </x:c>
      <x:c r="O235" s="29" t="str">
        <x:v>RULE_DERIVED</x:v>
      </x:c>
    </x:row>
    <x:row r="236">
      <x:c r="A236" s="29" t="str">
        <x:v>C30-20260821-002</x:v>
      </x:c>
      <x:c r="B236" s="32" t="n">
        <x:v>46255.37013888889</x:v>
      </x:c>
      <x:c r="C236" s="29" t="str">
        <x:v>C30</x:v>
      </x:c>
      <x:c r="D236" s="29" t="str">
        <x:v>NORMAL</x:v>
      </x:c>
      <x:c r="E236" s="35" t="n">
        <x:v>56.6</x:v>
      </x:c>
      <x:c r="F236" s="41" t="str">
        <x:v>稠度适中，包裹性好，不泌水，不结块，泵送顺畅</x:v>
      </x:c>
      <x:c r="G236" s="38" t="n">
        <x:v>4</x:v>
      </x:c>
      <x:c r="H236" s="38" t="n">
        <x:v>184</x:v>
      </x:c>
      <x:c r="I236" s="38" t="n">
        <x:v>559</x:v>
      </x:c>
      <x:c r="J236" s="35" t="n">
        <x:v>3</x:v>
      </x:c>
      <x:c r="K236" s="29" t="str">
        <x:v>合格</x:v>
      </x:c>
      <x:c r="L236" s="41" t="str">
        <x:v>终止搅拌，直接出料；同步记录台账，留存实测参数备查。</x:v>
      </x:c>
      <x:c r="M236" s="29" t="str">
        <x:v>否</x:v>
      </x:c>
      <x:c r="N236" s="29" t="str">
        <x:f>IF(COUNTIFS('C30规则'!$A$5:$A$9,D236,'C30规则'!$C$5:$C$9,"&lt;="&amp;E236,'C30规则'!$D$5:$D$9,"&gt;="&amp;E236,'C30规则'!$E$5:$E$9,"&lt;="&amp;G236,'C30规则'!$F$5:$F$9,"&gt;="&amp;G236,'C30规则'!$G$5:$G$9,"&lt;="&amp;H236,'C30规则'!$H$5:$H$9,"&gt;="&amp;H236,'C30规则'!$I$5:$I$9,"&lt;="&amp;I236,'C30规则'!$J$5:$J$9,"&gt;="&amp;I236,'C30规则'!$K$5:$K$9,"&lt;="&amp;J236,'C30规则'!$L$5:$L$9,"&gt;="&amp;J236)=1,"通过","检查")</x:f>
        <x:v>通过</x:v>
      </x:c>
      <x:c r="O236" s="29" t="str">
        <x:v>RULE_DERIVED</x:v>
      </x:c>
    </x:row>
    <x:row r="237">
      <x:c r="A237" s="29" t="str">
        <x:v>C30-20260821-003</x:v>
      </x:c>
      <x:c r="B237" s="32" t="n">
        <x:v>46255.40277777778</x:v>
      </x:c>
      <x:c r="C237" s="29" t="str">
        <x:v>C30</x:v>
      </x:c>
      <x:c r="D237" s="29" t="str">
        <x:v>NORMAL</x:v>
      </x:c>
      <x:c r="E237" s="35" t="n">
        <x:v>59.8</x:v>
      </x:c>
      <x:c r="F237" s="41" t="str">
        <x:v>稠度适中，包裹性好，不泌水，不结块，泵送顺畅</x:v>
      </x:c>
      <x:c r="G237" s="38" t="n">
        <x:v>-19</x:v>
      </x:c>
      <x:c r="H237" s="38" t="n">
        <x:v>161</x:v>
      </x:c>
      <x:c r="I237" s="38" t="n">
        <x:v>530</x:v>
      </x:c>
      <x:c r="J237" s="35" t="n">
        <x:v>4.5</x:v>
      </x:c>
      <x:c r="K237" s="29" t="str">
        <x:v>合格</x:v>
      </x:c>
      <x:c r="L237" s="41" t="str">
        <x:v>终止搅拌，直接出料；同步记录台账，留存实测参数备查。</x:v>
      </x:c>
      <x:c r="M237" s="29" t="str">
        <x:v>否</x:v>
      </x:c>
      <x:c r="N237" s="29" t="str">
        <x:f>IF(COUNTIFS('C30规则'!$A$5:$A$9,D237,'C30规则'!$C$5:$C$9,"&lt;="&amp;E237,'C30规则'!$D$5:$D$9,"&gt;="&amp;E237,'C30规则'!$E$5:$E$9,"&lt;="&amp;G237,'C30规则'!$F$5:$F$9,"&gt;="&amp;G237,'C30规则'!$G$5:$G$9,"&lt;="&amp;H237,'C30规则'!$H$5:$H$9,"&gt;="&amp;H237,'C30规则'!$I$5:$I$9,"&lt;="&amp;I237,'C30规则'!$J$5:$J$9,"&gt;="&amp;I237,'C30规则'!$K$5:$K$9,"&lt;="&amp;J237,'C30规则'!$L$5:$L$9,"&gt;="&amp;J237)=1,"通过","检查")</x:f>
        <x:v>通过</x:v>
      </x:c>
      <x:c r="O237" s="29" t="str">
        <x:v>RULE_DERIVED</x:v>
      </x:c>
    </x:row>
    <x:row r="238">
      <x:c r="A238" s="29" t="str">
        <x:v>C30-20260821-004</x:v>
      </x:c>
      <x:c r="B238" s="32" t="n">
        <x:v>46255.43680555555</x:v>
      </x:c>
      <x:c r="C238" s="29" t="str">
        <x:v>C30</x:v>
      </x:c>
      <x:c r="D238" s="29" t="str">
        <x:v>DRY_SEVERE</x:v>
      </x:c>
      <x:c r="E238" s="35" t="n">
        <x:v>72.4</x:v>
      </x:c>
      <x:c r="F238" s="41" t="str">
        <x:v>干涩，结块，挂壁，流动性极差，无法泵送</x:v>
      </x:c>
      <x:c r="G238" s="38" t="n">
        <x:v>-43</x:v>
      </x:c>
      <x:c r="H238" s="38" t="n">
        <x:v>137</x:v>
      </x:c>
      <x:c r="I238" s="38" t="n">
        <x:v>487</x:v>
      </x:c>
      <x:c r="J238" s="35" t="n">
        <x:v>5.9</x:v>
      </x:c>
      <x:c r="K238" s="29" t="str">
        <x:v>不合格</x:v>
      </x:c>
      <x:c r="L238" s="41" t="str">
        <x:v>优先补加0.2%减水剂和5kg清水，搅拌60s后复测。</x:v>
      </x:c>
      <x:c r="M238" s="29" t="str">
        <x:v>是</x:v>
      </x:c>
      <x:c r="N238" s="29" t="str">
        <x:f>IF(COUNTIFS('C30规则'!$A$5:$A$9,D238,'C30规则'!$C$5:$C$9,"&lt;="&amp;E238,'C30规则'!$D$5:$D$9,"&gt;="&amp;E238,'C30规则'!$E$5:$E$9,"&lt;="&amp;G238,'C30规则'!$F$5:$F$9,"&gt;="&amp;G238,'C30规则'!$G$5:$G$9,"&lt;="&amp;H238,'C30规则'!$H$5:$H$9,"&gt;="&amp;H238,'C30规则'!$I$5:$I$9,"&lt;="&amp;I238,'C30规则'!$J$5:$J$9,"&gt;="&amp;I238,'C30规则'!$K$5:$K$9,"&lt;="&amp;J238,'C30规则'!$L$5:$L$9,"&gt;="&amp;J238)=1,"通过","检查")</x:f>
        <x:v>通过</x:v>
      </x:c>
      <x:c r="O238" s="29" t="str">
        <x:v>RULE_DERIVED</x:v>
      </x:c>
    </x:row>
    <x:row r="239">
      <x:c r="A239" s="29" t="str">
        <x:v>C30-20260821-005</x:v>
      </x:c>
      <x:c r="B239" s="32" t="n">
        <x:v>46255.46875</x:v>
      </x:c>
      <x:c r="C239" s="29" t="str">
        <x:v>C30</x:v>
      </x:c>
      <x:c r="D239" s="29" t="str">
        <x:v>NORMAL</x:v>
      </x:c>
      <x:c r="E239" s="35" t="n">
        <x:v>56.8</x:v>
      </x:c>
      <x:c r="F239" s="41" t="str">
        <x:v>稠度适中，包裹性好，不泌水，不结块，泵送顺畅</x:v>
      </x:c>
      <x:c r="G239" s="38" t="n">
        <x:v>4</x:v>
      </x:c>
      <x:c r="H239" s="38" t="n">
        <x:v>184</x:v>
      </x:c>
      <x:c r="I239" s="38" t="n">
        <x:v>556</x:v>
      </x:c>
      <x:c r="J239" s="35" t="n">
        <x:v>3.2</x:v>
      </x:c>
      <x:c r="K239" s="29" t="str">
        <x:v>合格</x:v>
      </x:c>
      <x:c r="L239" s="41" t="str">
        <x:v>终止搅拌，直接出料；同步记录台账，留存实测参数备查。</x:v>
      </x:c>
      <x:c r="M239" s="29" t="str">
        <x:v>否</x:v>
      </x:c>
      <x:c r="N239" s="29" t="str">
        <x:f>IF(COUNTIFS('C30规则'!$A$5:$A$9,D239,'C30规则'!$C$5:$C$9,"&lt;="&amp;E239,'C30规则'!$D$5:$D$9,"&gt;="&amp;E239,'C30规则'!$E$5:$E$9,"&lt;="&amp;G239,'C30规则'!$F$5:$F$9,"&gt;="&amp;G239,'C30规则'!$G$5:$G$9,"&lt;="&amp;H239,'C30规则'!$H$5:$H$9,"&gt;="&amp;H239,'C30规则'!$I$5:$I$9,"&lt;="&amp;I239,'C30规则'!$J$5:$J$9,"&gt;="&amp;I239,'C30规则'!$K$5:$K$9,"&lt;="&amp;J239,'C30规则'!$L$5:$L$9,"&gt;="&amp;J239)=1,"通过","检查")</x:f>
        <x:v>通过</x:v>
      </x:c>
      <x:c r="O239" s="29" t="str">
        <x:v>RULE_DERIVED</x:v>
      </x:c>
    </x:row>
    <x:row r="240">
      <x:c r="A240" s="29" t="str">
        <x:v>C30-20260821-006</x:v>
      </x:c>
      <x:c r="B240" s="32" t="n">
        <x:v>46255.5</x:v>
      </x:c>
      <x:c r="C240" s="29" t="str">
        <x:v>C30</x:v>
      </x:c>
      <x:c r="D240" s="29" t="str">
        <x:v>NORMAL</x:v>
      </x:c>
      <x:c r="E240" s="35" t="n">
        <x:v>57.7</x:v>
      </x:c>
      <x:c r="F240" s="41" t="str">
        <x:v>稠度适中，包裹性好，不泌水，不结块，泵送顺畅</x:v>
      </x:c>
      <x:c r="G240" s="38" t="n">
        <x:v>-1</x:v>
      </x:c>
      <x:c r="H240" s="38" t="n">
        <x:v>179</x:v>
      </x:c>
      <x:c r="I240" s="38" t="n">
        <x:v>543</x:v>
      </x:c>
      <x:c r="J240" s="35" t="n">
        <x:v>3.7</x:v>
      </x:c>
      <x:c r="K240" s="29" t="str">
        <x:v>合格</x:v>
      </x:c>
      <x:c r="L240" s="41" t="str">
        <x:v>终止搅拌，直接出料；同步记录台账，留存实测参数备查。</x:v>
      </x:c>
      <x:c r="M240" s="29" t="str">
        <x:v>否</x:v>
      </x:c>
      <x:c r="N240" s="29" t="str">
        <x:f>IF(COUNTIFS('C30规则'!$A$5:$A$9,D240,'C30规则'!$C$5:$C$9,"&lt;="&amp;E240,'C30规则'!$D$5:$D$9,"&gt;="&amp;E240,'C30规则'!$E$5:$E$9,"&lt;="&amp;G240,'C30规则'!$F$5:$F$9,"&gt;="&amp;G240,'C30规则'!$G$5:$G$9,"&lt;="&amp;H240,'C30规则'!$H$5:$H$9,"&gt;="&amp;H240,'C30规则'!$I$5:$I$9,"&lt;="&amp;I240,'C30规则'!$J$5:$J$9,"&gt;="&amp;I240,'C30规则'!$K$5:$K$9,"&lt;="&amp;J240,'C30规则'!$L$5:$L$9,"&gt;="&amp;J240)=1,"通过","检查")</x:f>
        <x:v>通过</x:v>
      </x:c>
      <x:c r="O240" s="29" t="str">
        <x:v>RULE_DERIVED</x:v>
      </x:c>
    </x:row>
    <x:row r="241">
      <x:c r="A241" s="29" t="str">
        <x:v>C30-20260821-007</x:v>
      </x:c>
      <x:c r="B241" s="32" t="n">
        <x:v>46255.53680555556</x:v>
      </x:c>
      <x:c r="C241" s="29" t="str">
        <x:v>C30</x:v>
      </x:c>
      <x:c r="D241" s="29" t="str">
        <x:v>NORMAL</x:v>
      </x:c>
      <x:c r="E241" s="35" t="n">
        <x:v>58</x:v>
      </x:c>
      <x:c r="F241" s="41" t="str">
        <x:v>稠度适中，包裹性好，不泌水，不结块，泵送顺畅</x:v>
      </x:c>
      <x:c r="G241" s="38" t="n">
        <x:v>-2</x:v>
      </x:c>
      <x:c r="H241" s="38" t="n">
        <x:v>178</x:v>
      </x:c>
      <x:c r="I241" s="38" t="n">
        <x:v>550</x:v>
      </x:c>
      <x:c r="J241" s="35" t="n">
        <x:v>3.8</x:v>
      </x:c>
      <x:c r="K241" s="29" t="str">
        <x:v>合格</x:v>
      </x:c>
      <x:c r="L241" s="41" t="str">
        <x:v>终止搅拌，直接出料；同步记录台账，留存实测参数备查。</x:v>
      </x:c>
      <x:c r="M241" s="29" t="str">
        <x:v>否</x:v>
      </x:c>
      <x:c r="N241" s="29" t="str">
        <x:f>IF(COUNTIFS('C30规则'!$A$5:$A$9,D241,'C30规则'!$C$5:$C$9,"&lt;="&amp;E241,'C30规则'!$D$5:$D$9,"&gt;="&amp;E241,'C30规则'!$E$5:$E$9,"&lt;="&amp;G241,'C30规则'!$F$5:$F$9,"&gt;="&amp;G241,'C30规则'!$G$5:$G$9,"&lt;="&amp;H241,'C30规则'!$H$5:$H$9,"&gt;="&amp;H241,'C30规则'!$I$5:$I$9,"&lt;="&amp;I241,'C30规则'!$J$5:$J$9,"&gt;="&amp;I241,'C30规则'!$K$5:$K$9,"&lt;="&amp;J241,'C30规则'!$L$5:$L$9,"&gt;="&amp;J241)=1,"通过","检查")</x:f>
        <x:v>通过</x:v>
      </x:c>
      <x:c r="O241" s="29" t="str">
        <x:v>RULE_DERIVED</x:v>
      </x:c>
    </x:row>
    <x:row r="242">
      <x:c r="A242" s="29" t="str">
        <x:v>C30-20260821-008</x:v>
      </x:c>
      <x:c r="B242" s="32" t="n">
        <x:v>46255.56736111111</x:v>
      </x:c>
      <x:c r="C242" s="29" t="str">
        <x:v>C30</x:v>
      </x:c>
      <x:c r="D242" s="29" t="str">
        <x:v>DRY_MILD</x:v>
      </x:c>
      <x:c r="E242" s="35" t="n">
        <x:v>65.2</x:v>
      </x:c>
      <x:c r="F242" s="41" t="str">
        <x:v>偏干，骨料微裸露，流动性偏弱</x:v>
      </x:c>
      <x:c r="G242" s="38" t="n">
        <x:v>-23</x:v>
      </x:c>
      <x:c r="H242" s="38" t="n">
        <x:v>157</x:v>
      </x:c>
      <x:c r="I242" s="38" t="n">
        <x:v>507</x:v>
      </x:c>
      <x:c r="J242" s="35" t="n">
        <x:v>4.9</x:v>
      </x:c>
      <x:c r="K242" s="29" t="str">
        <x:v>轻微异常</x:v>
      </x:c>
      <x:c r="L242" s="41" t="str">
        <x:v>优先增加聚羧酸减水剂掺量0.1%，搅拌30s后复测，达标后出料。</x:v>
      </x:c>
      <x:c r="M242" s="29" t="str">
        <x:v>是</x:v>
      </x:c>
      <x:c r="N242" s="29" t="str">
        <x:f>IF(COUNTIFS('C30规则'!$A$5:$A$9,D242,'C30规则'!$C$5:$C$9,"&lt;="&amp;E242,'C30规则'!$D$5:$D$9,"&gt;="&amp;E242,'C30规则'!$E$5:$E$9,"&lt;="&amp;G242,'C30规则'!$F$5:$F$9,"&gt;="&amp;G242,'C30规则'!$G$5:$G$9,"&lt;="&amp;H242,'C30规则'!$H$5:$H$9,"&gt;="&amp;H242,'C30规则'!$I$5:$I$9,"&lt;="&amp;I242,'C30规则'!$J$5:$J$9,"&gt;="&amp;I242,'C30规则'!$K$5:$K$9,"&lt;="&amp;J242,'C30规则'!$L$5:$L$9,"&gt;="&amp;J242)=1,"通过","检查")</x:f>
        <x:v>通过</x:v>
      </x:c>
      <x:c r="O242" s="29" t="str">
        <x:v>RULE_DERIVED</x:v>
      </x:c>
    </x:row>
    <x:row r="243">
      <x:c r="A243" s="29" t="str">
        <x:v>C30-20260821-009</x:v>
      </x:c>
      <x:c r="B243" s="32" t="n">
        <x:v>46255.603472222225</x:v>
      </x:c>
      <x:c r="C243" s="29" t="str">
        <x:v>C30</x:v>
      </x:c>
      <x:c r="D243" s="29" t="str">
        <x:v>WET_MILD</x:v>
      </x:c>
      <x:c r="E243" s="35" t="n">
        <x:v>52.3</x:v>
      </x:c>
      <x:c r="F243" s="41" t="str">
        <x:v>偏稀，流动性偏大，无泌水</x:v>
      </x:c>
      <x:c r="G243" s="38" t="n">
        <x:v>24</x:v>
      </x:c>
      <x:c r="H243" s="38" t="n">
        <x:v>204</x:v>
      </x:c>
      <x:c r="I243" s="38" t="n">
        <x:v>584</x:v>
      </x:c>
      <x:c r="J243" s="35" t="n">
        <x:v>2.3</x:v>
      </x:c>
      <x:c r="K243" s="29" t="str">
        <x:v>轻微异常</x:v>
      </x:c>
      <x:c r="L243" s="41" t="str">
        <x:v>加入5–8kg/m³干砂，搅拌30s后复测，达标后正常出料并观察泵送。</x:v>
      </x:c>
      <x:c r="M243" s="29" t="str">
        <x:v>是</x:v>
      </x:c>
      <x:c r="N243" s="29" t="str">
        <x:f>IF(COUNTIFS('C30规则'!$A$5:$A$9,D243,'C30规则'!$C$5:$C$9,"&lt;="&amp;E243,'C30规则'!$D$5:$D$9,"&gt;="&amp;E243,'C30规则'!$E$5:$E$9,"&lt;="&amp;G243,'C30规则'!$F$5:$F$9,"&gt;="&amp;G243,'C30规则'!$G$5:$G$9,"&lt;="&amp;H243,'C30规则'!$H$5:$H$9,"&gt;="&amp;H243,'C30规则'!$I$5:$I$9,"&lt;="&amp;I243,'C30规则'!$J$5:$J$9,"&gt;="&amp;I243,'C30规则'!$K$5:$K$9,"&lt;="&amp;J243,'C30规则'!$L$5:$L$9,"&gt;="&amp;J243)=1,"通过","检查")</x:f>
        <x:v>通过</x:v>
      </x:c>
      <x:c r="O243" s="29" t="str">
        <x:v>RULE_DERIVED</x:v>
      </x:c>
    </x:row>
    <x:row r="244">
      <x:c r="A244" s="29" t="str">
        <x:v>C30-20260821-010</x:v>
      </x:c>
      <x:c r="B244" s="32" t="n">
        <x:v>46255.638194444444</x:v>
      </x:c>
      <x:c r="C244" s="29" t="str">
        <x:v>C30</x:v>
      </x:c>
      <x:c r="D244" s="29" t="str">
        <x:v>NORMAL</x:v>
      </x:c>
      <x:c r="E244" s="35" t="n">
        <x:v>56</x:v>
      </x:c>
      <x:c r="F244" s="41" t="str">
        <x:v>稠度适中，包裹性好，不泌水，不结块，泵送顺畅</x:v>
      </x:c>
      <x:c r="G244" s="38" t="n">
        <x:v>12</x:v>
      </x:c>
      <x:c r="H244" s="38" t="n">
        <x:v>192</x:v>
      </x:c>
      <x:c r="I244" s="38" t="n">
        <x:v>555</x:v>
      </x:c>
      <x:c r="J244" s="35" t="n">
        <x:v>3</x:v>
      </x:c>
      <x:c r="K244" s="29" t="str">
        <x:v>合格</x:v>
      </x:c>
      <x:c r="L244" s="41" t="str">
        <x:v>终止搅拌，直接出料；同步记录台账，留存实测参数备查。</x:v>
      </x:c>
      <x:c r="M244" s="29" t="str">
        <x:v>否</x:v>
      </x:c>
      <x:c r="N244" s="29" t="str">
        <x:f>IF(COUNTIFS('C30规则'!$A$5:$A$9,D244,'C30规则'!$C$5:$C$9,"&lt;="&amp;E244,'C30规则'!$D$5:$D$9,"&gt;="&amp;E244,'C30规则'!$E$5:$E$9,"&lt;="&amp;G244,'C30规则'!$F$5:$F$9,"&gt;="&amp;G244,'C30规则'!$G$5:$G$9,"&lt;="&amp;H244,'C30规则'!$H$5:$H$9,"&gt;="&amp;H244,'C30规则'!$I$5:$I$9,"&lt;="&amp;I244,'C30规则'!$J$5:$J$9,"&gt;="&amp;I244,'C30规则'!$K$5:$K$9,"&lt;="&amp;J244,'C30规则'!$L$5:$L$9,"&gt;="&amp;J244)=1,"通过","检查")</x:f>
        <x:v>通过</x:v>
      </x:c>
      <x:c r="O244" s="29" t="str">
        <x:v>RULE_DERIVED</x:v>
      </x:c>
    </x:row>
    <x:row r="245">
      <x:c r="A245" s="29" t="str">
        <x:v>C30-20260822-001</x:v>
      </x:c>
      <x:c r="B245" s="32" t="n">
        <x:v>46256.33819444444</x:v>
      </x:c>
      <x:c r="C245" s="29" t="str">
        <x:v>C30</x:v>
      </x:c>
      <x:c r="D245" s="29" t="str">
        <x:v>DRY_SEVERE</x:v>
      </x:c>
      <x:c r="E245" s="35" t="n">
        <x:v>76.8</x:v>
      </x:c>
      <x:c r="F245" s="41" t="str">
        <x:v>干涩，结块，挂壁，流动性极差，无法泵送</x:v>
      </x:c>
      <x:c r="G245" s="38" t="n">
        <x:v>-53</x:v>
      </x:c>
      <x:c r="H245" s="38" t="n">
        <x:v>127</x:v>
      </x:c>
      <x:c r="I245" s="38" t="n">
        <x:v>457</x:v>
      </x:c>
      <x:c r="J245" s="35" t="n">
        <x:v>6.4</x:v>
      </x:c>
      <x:c r="K245" s="29" t="str">
        <x:v>不合格</x:v>
      </x:c>
      <x:c r="L245" s="41" t="str">
        <x:v>优先补加0.2%减水剂和5kg清水，搅拌60s后复测。</x:v>
      </x:c>
      <x:c r="M245" s="29" t="str">
        <x:v>是</x:v>
      </x:c>
      <x:c r="N245" s="29" t="str">
        <x:f>IF(COUNTIFS('C30规则'!$A$5:$A$9,D245,'C30规则'!$C$5:$C$9,"&lt;="&amp;E245,'C30规则'!$D$5:$D$9,"&gt;="&amp;E245,'C30规则'!$E$5:$E$9,"&lt;="&amp;G245,'C30规则'!$F$5:$F$9,"&gt;="&amp;G245,'C30规则'!$G$5:$G$9,"&lt;="&amp;H245,'C30规则'!$H$5:$H$9,"&gt;="&amp;H245,'C30规则'!$I$5:$I$9,"&lt;="&amp;I245,'C30规则'!$J$5:$J$9,"&gt;="&amp;I245,'C30规则'!$K$5:$K$9,"&lt;="&amp;J245,'C30规则'!$L$5:$L$9,"&gt;="&amp;J245)=1,"通过","检查")</x:f>
        <x:v>通过</x:v>
      </x:c>
      <x:c r="O245" s="29" t="str">
        <x:v>RULE_DERIVED</x:v>
      </x:c>
    </x:row>
    <x:row r="246">
      <x:c r="A246" s="29" t="str">
        <x:v>C30-20260822-002</x:v>
      </x:c>
      <x:c r="B246" s="32" t="n">
        <x:v>46256.37152777778</x:v>
      </x:c>
      <x:c r="C246" s="29" t="str">
        <x:v>C30</x:v>
      </x:c>
      <x:c r="D246" s="29" t="str">
        <x:v>DRY_SEVERE</x:v>
      </x:c>
      <x:c r="E246" s="35" t="n">
        <x:v>73.6</x:v>
      </x:c>
      <x:c r="F246" s="41" t="str">
        <x:v>干涩，结块，挂壁，流动性极差，无法泵送</x:v>
      </x:c>
      <x:c r="G246" s="38" t="n">
        <x:v>-46</x:v>
      </x:c>
      <x:c r="H246" s="38" t="n">
        <x:v>134</x:v>
      </x:c>
      <x:c r="I246" s="38" t="n">
        <x:v>478</x:v>
      </x:c>
      <x:c r="J246" s="35" t="n">
        <x:v>6.2</x:v>
      </x:c>
      <x:c r="K246" s="29" t="str">
        <x:v>不合格</x:v>
      </x:c>
      <x:c r="L246" s="41" t="str">
        <x:v>优先补加0.2%减水剂和5kg清水，搅拌60s后复测。</x:v>
      </x:c>
      <x:c r="M246" s="29" t="str">
        <x:v>是</x:v>
      </x:c>
      <x:c r="N246" s="29" t="str">
        <x:f>IF(COUNTIFS('C30规则'!$A$5:$A$9,D246,'C30规则'!$C$5:$C$9,"&lt;="&amp;E246,'C30规则'!$D$5:$D$9,"&gt;="&amp;E246,'C30规则'!$E$5:$E$9,"&lt;="&amp;G246,'C30规则'!$F$5:$F$9,"&gt;="&amp;G246,'C30规则'!$G$5:$G$9,"&lt;="&amp;H246,'C30规则'!$H$5:$H$9,"&gt;="&amp;H246,'C30规则'!$I$5:$I$9,"&lt;="&amp;I246,'C30规则'!$J$5:$J$9,"&gt;="&amp;I246,'C30规则'!$K$5:$K$9,"&lt;="&amp;J246,'C30规则'!$L$5:$L$9,"&gt;="&amp;J246)=1,"通过","检查")</x:f>
        <x:v>通过</x:v>
      </x:c>
      <x:c r="O246" s="29" t="str">
        <x:v>RULE_DERIVED</x:v>
      </x:c>
    </x:row>
    <x:row r="247">
      <x:c r="A247" s="29" t="str">
        <x:v>C30-20260822-003</x:v>
      </x:c>
      <x:c r="B247" s="32" t="n">
        <x:v>46256.402083333334</x:v>
      </x:c>
      <x:c r="C247" s="29" t="str">
        <x:v>C30</x:v>
      </x:c>
      <x:c r="D247" s="29" t="str">
        <x:v>NORMAL</x:v>
      </x:c>
      <x:c r="E247" s="35" t="n">
        <x:v>57.7</x:v>
      </x:c>
      <x:c r="F247" s="41" t="str">
        <x:v>稠度适中，包裹性好，不泌水，不结块，泵送顺畅</x:v>
      </x:c>
      <x:c r="G247" s="38" t="n">
        <x:v>-2</x:v>
      </x:c>
      <x:c r="H247" s="38" t="n">
        <x:v>178</x:v>
      </x:c>
      <x:c r="I247" s="38" t="n">
        <x:v>551</x:v>
      </x:c>
      <x:c r="J247" s="35" t="n">
        <x:v>3.7</x:v>
      </x:c>
      <x:c r="K247" s="29" t="str">
        <x:v>合格</x:v>
      </x:c>
      <x:c r="L247" s="41" t="str">
        <x:v>终止搅拌，直接出料；同步记录台账，留存实测参数备查。</x:v>
      </x:c>
      <x:c r="M247" s="29" t="str">
        <x:v>否</x:v>
      </x:c>
      <x:c r="N247" s="29" t="str">
        <x:f>IF(COUNTIFS('C30规则'!$A$5:$A$9,D247,'C30规则'!$C$5:$C$9,"&lt;="&amp;E247,'C30规则'!$D$5:$D$9,"&gt;="&amp;E247,'C30规则'!$E$5:$E$9,"&lt;="&amp;G247,'C30规则'!$F$5:$F$9,"&gt;="&amp;G247,'C30规则'!$G$5:$G$9,"&lt;="&amp;H247,'C30规则'!$H$5:$H$9,"&gt;="&amp;H247,'C30规则'!$I$5:$I$9,"&lt;="&amp;I247,'C30规则'!$J$5:$J$9,"&gt;="&amp;I247,'C30规则'!$K$5:$K$9,"&lt;="&amp;J247,'C30规则'!$L$5:$L$9,"&gt;="&amp;J247)=1,"通过","检查")</x:f>
        <x:v>通过</x:v>
      </x:c>
      <x:c r="O247" s="29" t="str">
        <x:v>RULE_DERIVED</x:v>
      </x:c>
    </x:row>
    <x:row r="248">
      <x:c r="A248" s="29" t="str">
        <x:v>C30-20260822-004</x:v>
      </x:c>
      <x:c r="B248" s="32" t="n">
        <x:v>46256.436111111114</x:v>
      </x:c>
      <x:c r="C248" s="29" t="str">
        <x:v>C30</x:v>
      </x:c>
      <x:c r="D248" s="29" t="str">
        <x:v>WET_SEVERE</x:v>
      </x:c>
      <x:c r="E248" s="35" t="n">
        <x:v>47.4</x:v>
      </x:c>
      <x:c r="F248" s="41" t="str">
        <x:v>过稀，泌水，离析，骨料下沉，存在堵泵风险</x:v>
      </x:c>
      <x:c r="G248" s="38" t="n">
        <x:v>45</x:v>
      </x:c>
      <x:c r="H248" s="38" t="n">
        <x:v>225</x:v>
      </x:c>
      <x:c r="I248" s="38" t="n">
        <x:v>626</x:v>
      </x:c>
      <x:c r="J248" s="35" t="n">
        <x:v>1.6</x:v>
      </x:c>
      <x:c r="K248" s="29" t="str">
        <x:v>不合格</x:v>
      </x:c>
      <x:c r="L248" s="41" t="str">
        <x:v>立即暂停出料；加入10–12kg/m³干砂和3–5kg/m³水泥，搅拌60s后复测；仍离析则废弃并排查计量系统。</x:v>
      </x:c>
      <x:c r="M248" s="29" t="str">
        <x:v>是</x:v>
      </x:c>
      <x:c r="N248" s="29" t="str">
        <x:f>IF(COUNTIFS('C30规则'!$A$5:$A$9,D248,'C30规则'!$C$5:$C$9,"&lt;="&amp;E248,'C30规则'!$D$5:$D$9,"&gt;="&amp;E248,'C30规则'!$E$5:$E$9,"&lt;="&amp;G248,'C30规则'!$F$5:$F$9,"&gt;="&amp;G248,'C30规则'!$G$5:$G$9,"&lt;="&amp;H248,'C30规则'!$H$5:$H$9,"&gt;="&amp;H248,'C30规则'!$I$5:$I$9,"&lt;="&amp;I248,'C30规则'!$J$5:$J$9,"&gt;="&amp;I248,'C30规则'!$K$5:$K$9,"&lt;="&amp;J248,'C30规则'!$L$5:$L$9,"&gt;="&amp;J248)=1,"通过","检查")</x:f>
        <x:v>通过</x:v>
      </x:c>
      <x:c r="O248" s="29" t="str">
        <x:v>RULE_DERIVED</x:v>
      </x:c>
    </x:row>
    <x:row r="249">
      <x:c r="A249" s="29" t="str">
        <x:v>C30-20260822-005</x:v>
      </x:c>
      <x:c r="B249" s="32" t="n">
        <x:v>46256.47152777778</x:v>
      </x:c>
      <x:c r="C249" s="29" t="str">
        <x:v>C30</x:v>
      </x:c>
      <x:c r="D249" s="29" t="str">
        <x:v>WET_SEVERE</x:v>
      </x:c>
      <x:c r="E249" s="35" t="n">
        <x:v>44.2</x:v>
      </x:c>
      <x:c r="F249" s="41" t="str">
        <x:v>过稀，泌水，离析，骨料下沉，存在堵泵风险</x:v>
      </x:c>
      <x:c r="G249" s="38" t="n">
        <x:v>51</x:v>
      </x:c>
      <x:c r="H249" s="38" t="n">
        <x:v>231</x:v>
      </x:c>
      <x:c r="I249" s="38" t="n">
        <x:v>646</x:v>
      </x:c>
      <x:c r="J249" s="35" t="n">
        <x:v>1.4</x:v>
      </x:c>
      <x:c r="K249" s="29" t="str">
        <x:v>不合格</x:v>
      </x:c>
      <x:c r="L249" s="41" t="str">
        <x:v>立即暂停出料；加入10–12kg/m³干砂和3–5kg/m³水泥，搅拌60s后复测；仍离析则废弃并排查计量系统。</x:v>
      </x:c>
      <x:c r="M249" s="29" t="str">
        <x:v>是</x:v>
      </x:c>
      <x:c r="N249" s="29" t="str">
        <x:f>IF(COUNTIFS('C30规则'!$A$5:$A$9,D249,'C30规则'!$C$5:$C$9,"&lt;="&amp;E249,'C30规则'!$D$5:$D$9,"&gt;="&amp;E249,'C30规则'!$E$5:$E$9,"&lt;="&amp;G249,'C30规则'!$F$5:$F$9,"&gt;="&amp;G249,'C30规则'!$G$5:$G$9,"&lt;="&amp;H249,'C30规则'!$H$5:$H$9,"&gt;="&amp;H249,'C30规则'!$I$5:$I$9,"&lt;="&amp;I249,'C30规则'!$J$5:$J$9,"&gt;="&amp;I249,'C30规则'!$K$5:$K$9,"&lt;="&amp;J249,'C30规则'!$L$5:$L$9,"&gt;="&amp;J249)=1,"通过","检查")</x:f>
        <x:v>通过</x:v>
      </x:c>
      <x:c r="O249" s="29" t="str">
        <x:v>RULE_DERIVED</x:v>
      </x:c>
    </x:row>
    <x:row r="250">
      <x:c r="A250" s="29" t="str">
        <x:v>C30-20260822-006</x:v>
      </x:c>
      <x:c r="B250" s="32" t="n">
        <x:v>46256.50277777778</x:v>
      </x:c>
      <x:c r="C250" s="29" t="str">
        <x:v>C30</x:v>
      </x:c>
      <x:c r="D250" s="29" t="str">
        <x:v>DRY_MILD</x:v>
      </x:c>
      <x:c r="E250" s="35" t="n">
        <x:v>68.9</x:v>
      </x:c>
      <x:c r="F250" s="41" t="str">
        <x:v>偏干，骨料微裸露，流动性偏弱</x:v>
      </x:c>
      <x:c r="G250" s="38" t="n">
        <x:v>-28</x:v>
      </x:c>
      <x:c r="H250" s="38" t="n">
        <x:v>152</x:v>
      </x:c>
      <x:c r="I250" s="38" t="n">
        <x:v>500</x:v>
      </x:c>
      <x:c r="J250" s="35" t="n">
        <x:v>5.4</x:v>
      </x:c>
      <x:c r="K250" s="29" t="str">
        <x:v>轻微异常</x:v>
      </x:c>
      <x:c r="L250" s="41" t="str">
        <x:v>优先增加聚羧酸减水剂掺量0.1%，搅拌30s后复测，达标后出料。</x:v>
      </x:c>
      <x:c r="M250" s="29" t="str">
        <x:v>是</x:v>
      </x:c>
      <x:c r="N250" s="29" t="str">
        <x:f>IF(COUNTIFS('C30规则'!$A$5:$A$9,D250,'C30规则'!$C$5:$C$9,"&lt;="&amp;E250,'C30规则'!$D$5:$D$9,"&gt;="&amp;E250,'C30规则'!$E$5:$E$9,"&lt;="&amp;G250,'C30规则'!$F$5:$F$9,"&gt;="&amp;G250,'C30规则'!$G$5:$G$9,"&lt;="&amp;H250,'C30规则'!$H$5:$H$9,"&gt;="&amp;H250,'C30规则'!$I$5:$I$9,"&lt;="&amp;I250,'C30规则'!$J$5:$J$9,"&gt;="&amp;I250,'C30规则'!$K$5:$K$9,"&lt;="&amp;J250,'C30规则'!$L$5:$L$9,"&gt;="&amp;J250)=1,"通过","检查")</x:f>
        <x:v>通过</x:v>
      </x:c>
      <x:c r="O250" s="29" t="str">
        <x:v>RULE_DERIVED</x:v>
      </x:c>
    </x:row>
    <x:row r="251">
      <x:c r="A251" s="29" t="str">
        <x:v>C30-20260822-007</x:v>
      </x:c>
      <x:c r="B251" s="32" t="n">
        <x:v>46256.53333333333</x:v>
      </x:c>
      <x:c r="C251" s="29" t="str">
        <x:v>C30</x:v>
      </x:c>
      <x:c r="D251" s="29" t="str">
        <x:v>DRY_SEVERE</x:v>
      </x:c>
      <x:c r="E251" s="35" t="n">
        <x:v>74</x:v>
      </x:c>
      <x:c r="F251" s="41" t="str">
        <x:v>干涩，结块，挂壁，流动性极差，无法泵送</x:v>
      </x:c>
      <x:c r="G251" s="38" t="n">
        <x:v>-50</x:v>
      </x:c>
      <x:c r="H251" s="38" t="n">
        <x:v>130</x:v>
      </x:c>
      <x:c r="I251" s="38" t="n">
        <x:v>481</x:v>
      </x:c>
      <x:c r="J251" s="35" t="n">
        <x:v>6.2</x:v>
      </x:c>
      <x:c r="K251" s="29" t="str">
        <x:v>不合格</x:v>
      </x:c>
      <x:c r="L251" s="41" t="str">
        <x:v>优先补加0.2%减水剂和5kg清水，搅拌60s后复测。</x:v>
      </x:c>
      <x:c r="M251" s="29" t="str">
        <x:v>是</x:v>
      </x:c>
      <x:c r="N251" s="29" t="str">
        <x:f>IF(COUNTIFS('C30规则'!$A$5:$A$9,D251,'C30规则'!$C$5:$C$9,"&lt;="&amp;E251,'C30规则'!$D$5:$D$9,"&gt;="&amp;E251,'C30规则'!$E$5:$E$9,"&lt;="&amp;G251,'C30规则'!$F$5:$F$9,"&gt;="&amp;G251,'C30规则'!$G$5:$G$9,"&lt;="&amp;H251,'C30规则'!$H$5:$H$9,"&gt;="&amp;H251,'C30规则'!$I$5:$I$9,"&lt;="&amp;I251,'C30规则'!$J$5:$J$9,"&gt;="&amp;I251,'C30规则'!$K$5:$K$9,"&lt;="&amp;J251,'C30规则'!$L$5:$L$9,"&gt;="&amp;J251)=1,"通过","检查")</x:f>
        <x:v>通过</x:v>
      </x:c>
      <x:c r="O251" s="29" t="str">
        <x:v>RULE_DERIVED</x:v>
      </x:c>
    </x:row>
    <x:row r="252">
      <x:c r="A252" s="29" t="str">
        <x:v>C30-20260822-008</x:v>
      </x:c>
      <x:c r="B252" s="32" t="n">
        <x:v>46256.57152777778</x:v>
      </x:c>
      <x:c r="C252" s="29" t="str">
        <x:v>C30</x:v>
      </x:c>
      <x:c r="D252" s="29" t="str">
        <x:v>NORMAL</x:v>
      </x:c>
      <x:c r="E252" s="35" t="n">
        <x:v>58.1</x:v>
      </x:c>
      <x:c r="F252" s="41" t="str">
        <x:v>稠度适中，包裹性好，不泌水，不结块，泵送顺畅</x:v>
      </x:c>
      <x:c r="G252" s="38" t="n">
        <x:v>-2</x:v>
      </x:c>
      <x:c r="H252" s="38" t="n">
        <x:v>178</x:v>
      </x:c>
      <x:c r="I252" s="38" t="n">
        <x:v>540</x:v>
      </x:c>
      <x:c r="J252" s="35" t="n">
        <x:v>3.6</x:v>
      </x:c>
      <x:c r="K252" s="29" t="str">
        <x:v>合格</x:v>
      </x:c>
      <x:c r="L252" s="41" t="str">
        <x:v>终止搅拌，直接出料；同步记录台账，留存实测参数备查。</x:v>
      </x:c>
      <x:c r="M252" s="29" t="str">
        <x:v>否</x:v>
      </x:c>
      <x:c r="N252" s="29" t="str">
        <x:f>IF(COUNTIFS('C30规则'!$A$5:$A$9,D252,'C30规则'!$C$5:$C$9,"&lt;="&amp;E252,'C30规则'!$D$5:$D$9,"&gt;="&amp;E252,'C30规则'!$E$5:$E$9,"&lt;="&amp;G252,'C30规则'!$F$5:$F$9,"&gt;="&amp;G252,'C30规则'!$G$5:$G$9,"&lt;="&amp;H252,'C30规则'!$H$5:$H$9,"&gt;="&amp;H252,'C30规则'!$I$5:$I$9,"&lt;="&amp;I252,'C30规则'!$J$5:$J$9,"&gt;="&amp;I252,'C30规则'!$K$5:$K$9,"&lt;="&amp;J252,'C30规则'!$L$5:$L$9,"&gt;="&amp;J252)=1,"通过","检查")</x:f>
        <x:v>通过</x:v>
      </x:c>
      <x:c r="O252" s="29" t="str">
        <x:v>RULE_DERIVED</x:v>
      </x:c>
    </x:row>
    <x:row r="253">
      <x:c r="A253" s="29" t="str">
        <x:v>C30-20260822-009</x:v>
      </x:c>
      <x:c r="B253" s="32" t="n">
        <x:v>46256.60208333333</x:v>
      </x:c>
      <x:c r="C253" s="29" t="str">
        <x:v>C30</x:v>
      </x:c>
      <x:c r="D253" s="29" t="str">
        <x:v>NORMAL</x:v>
      </x:c>
      <x:c r="E253" s="35" t="n">
        <x:v>57.2</x:v>
      </x:c>
      <x:c r="F253" s="41" t="str">
        <x:v>稠度适中，包裹性好，不泌水，不结块，泵送顺畅</x:v>
      </x:c>
      <x:c r="G253" s="38" t="n">
        <x:v>3</x:v>
      </x:c>
      <x:c r="H253" s="38" t="n">
        <x:v>183</x:v>
      </x:c>
      <x:c r="I253" s="38" t="n">
        <x:v>559</x:v>
      </x:c>
      <x:c r="J253" s="35" t="n">
        <x:v>3.3</x:v>
      </x:c>
      <x:c r="K253" s="29" t="str">
        <x:v>合格</x:v>
      </x:c>
      <x:c r="L253" s="41" t="str">
        <x:v>终止搅拌，直接出料；同步记录台账，留存实测参数备查。</x:v>
      </x:c>
      <x:c r="M253" s="29" t="str">
        <x:v>否</x:v>
      </x:c>
      <x:c r="N253" s="29" t="str">
        <x:f>IF(COUNTIFS('C30规则'!$A$5:$A$9,D253,'C30规则'!$C$5:$C$9,"&lt;="&amp;E253,'C30规则'!$D$5:$D$9,"&gt;="&amp;E253,'C30规则'!$E$5:$E$9,"&lt;="&amp;G253,'C30规则'!$F$5:$F$9,"&gt;="&amp;G253,'C30规则'!$G$5:$G$9,"&lt;="&amp;H253,'C30规则'!$H$5:$H$9,"&gt;="&amp;H253,'C30规则'!$I$5:$I$9,"&lt;="&amp;I253,'C30规则'!$J$5:$J$9,"&gt;="&amp;I253,'C30规则'!$K$5:$K$9,"&lt;="&amp;J253,'C30规则'!$L$5:$L$9,"&gt;="&amp;J253)=1,"通过","检查")</x:f>
        <x:v>通过</x:v>
      </x:c>
      <x:c r="O253" s="29" t="str">
        <x:v>RULE_DERIVED</x:v>
      </x:c>
    </x:row>
    <x:row r="254">
      <x:c r="A254" s="29" t="str">
        <x:v>C30-20260822-010</x:v>
      </x:c>
      <x:c r="B254" s="32" t="n">
        <x:v>46256.63680555556</x:v>
      </x:c>
      <x:c r="C254" s="29" t="str">
        <x:v>C30</x:v>
      </x:c>
      <x:c r="D254" s="29" t="str">
        <x:v>DRY_SEVERE</x:v>
      </x:c>
      <x:c r="E254" s="35" t="n">
        <x:v>76</x:v>
      </x:c>
      <x:c r="F254" s="41" t="str">
        <x:v>干涩，结块，挂壁，流动性极差，无法泵送</x:v>
      </x:c>
      <x:c r="G254" s="38" t="n">
        <x:v>-53</x:v>
      </x:c>
      <x:c r="H254" s="38" t="n">
        <x:v>127</x:v>
      </x:c>
      <x:c r="I254" s="38" t="n">
        <x:v>468</x:v>
      </x:c>
      <x:c r="J254" s="35" t="n">
        <x:v>6.5</x:v>
      </x:c>
      <x:c r="K254" s="29" t="str">
        <x:v>不合格</x:v>
      </x:c>
      <x:c r="L254" s="41" t="str">
        <x:v>优先补加0.2%减水剂和5kg清水，搅拌60s后复测。</x:v>
      </x:c>
      <x:c r="M254" s="29" t="str">
        <x:v>是</x:v>
      </x:c>
      <x:c r="N254" s="29" t="str">
        <x:f>IF(COUNTIFS('C30规则'!$A$5:$A$9,D254,'C30规则'!$C$5:$C$9,"&lt;="&amp;E254,'C30规则'!$D$5:$D$9,"&gt;="&amp;E254,'C30规则'!$E$5:$E$9,"&lt;="&amp;G254,'C30规则'!$F$5:$F$9,"&gt;="&amp;G254,'C30规则'!$G$5:$G$9,"&lt;="&amp;H254,'C30规则'!$H$5:$H$9,"&gt;="&amp;H254,'C30规则'!$I$5:$I$9,"&lt;="&amp;I254,'C30规则'!$J$5:$J$9,"&gt;="&amp;I254,'C30规则'!$K$5:$K$9,"&lt;="&amp;J254,'C30规则'!$L$5:$L$9,"&gt;="&amp;J254)=1,"通过","检查")</x:f>
        <x:v>通过</x:v>
      </x:c>
      <x:c r="O254" s="29" t="str">
        <x:v>RULE_DERIVED</x:v>
      </x:c>
    </x:row>
    <x:row r="255">
      <x:c r="A255" s="29" t="str">
        <x:v>C30-20260823-001</x:v>
      </x:c>
      <x:c r="B255" s="32" t="n">
        <x:v>46257.333333333336</x:v>
      </x:c>
      <x:c r="C255" s="29" t="str">
        <x:v>C30</x:v>
      </x:c>
      <x:c r="D255" s="29" t="str">
        <x:v>WET_MILD</x:v>
      </x:c>
      <x:c r="E255" s="35" t="n">
        <x:v>54.4</x:v>
      </x:c>
      <x:c r="F255" s="41" t="str">
        <x:v>偏稀，流动性偏大，无泌水</x:v>
      </x:c>
      <x:c r="G255" s="38" t="n">
        <x:v>24</x:v>
      </x:c>
      <x:c r="H255" s="38" t="n">
        <x:v>204</x:v>
      </x:c>
      <x:c r="I255" s="38" t="n">
        <x:v>587</x:v>
      </x:c>
      <x:c r="J255" s="35" t="n">
        <x:v>2.3</x:v>
      </x:c>
      <x:c r="K255" s="29" t="str">
        <x:v>轻微异常</x:v>
      </x:c>
      <x:c r="L255" s="41" t="str">
        <x:v>加入5–8kg/m³干砂，搅拌30s后复测，达标后正常出料并观察泵送。</x:v>
      </x:c>
      <x:c r="M255" s="29" t="str">
        <x:v>是</x:v>
      </x:c>
      <x:c r="N255" s="29" t="str">
        <x:f>IF(COUNTIFS('C30规则'!$A$5:$A$9,D255,'C30规则'!$C$5:$C$9,"&lt;="&amp;E255,'C30规则'!$D$5:$D$9,"&gt;="&amp;E255,'C30规则'!$E$5:$E$9,"&lt;="&amp;G255,'C30规则'!$F$5:$F$9,"&gt;="&amp;G255,'C30规则'!$G$5:$G$9,"&lt;="&amp;H255,'C30规则'!$H$5:$H$9,"&gt;="&amp;H255,'C30规则'!$I$5:$I$9,"&lt;="&amp;I255,'C30规则'!$J$5:$J$9,"&gt;="&amp;I255,'C30规则'!$K$5:$K$9,"&lt;="&amp;J255,'C30规则'!$L$5:$L$9,"&gt;="&amp;J255)=1,"通过","检查")</x:f>
        <x:v>通过</x:v>
      </x:c>
      <x:c r="O255" s="29" t="str">
        <x:v>RULE_DERIVED</x:v>
      </x:c>
    </x:row>
    <x:row r="256">
      <x:c r="A256" s="29" t="str">
        <x:v>C30-20260823-002</x:v>
      </x:c>
      <x:c r="B256" s="32" t="n">
        <x:v>46257.37013888889</x:v>
      </x:c>
      <x:c r="C256" s="29" t="str">
        <x:v>C30</x:v>
      </x:c>
      <x:c r="D256" s="29" t="str">
        <x:v>DRY_MILD</x:v>
      </x:c>
      <x:c r="E256" s="35" t="n">
        <x:v>66.1</x:v>
      </x:c>
      <x:c r="F256" s="41" t="str">
        <x:v>偏干，骨料微裸露，流动性偏弱</x:v>
      </x:c>
      <x:c r="G256" s="38" t="n">
        <x:v>-23</x:v>
      </x:c>
      <x:c r="H256" s="38" t="n">
        <x:v>157</x:v>
      </x:c>
      <x:c r="I256" s="38" t="n">
        <x:v>504</x:v>
      </x:c>
      <x:c r="J256" s="35" t="n">
        <x:v>5</x:v>
      </x:c>
      <x:c r="K256" s="29" t="str">
        <x:v>轻微异常</x:v>
      </x:c>
      <x:c r="L256" s="41" t="str">
        <x:v>优先增加聚羧酸减水剂掺量0.1%，搅拌30s后复测，达标后出料。</x:v>
      </x:c>
      <x:c r="M256" s="29" t="str">
        <x:v>是</x:v>
      </x:c>
      <x:c r="N256" s="29" t="str">
        <x:f>IF(COUNTIFS('C30规则'!$A$5:$A$9,D256,'C30规则'!$C$5:$C$9,"&lt;="&amp;E256,'C30规则'!$D$5:$D$9,"&gt;="&amp;E256,'C30规则'!$E$5:$E$9,"&lt;="&amp;G256,'C30规则'!$F$5:$F$9,"&gt;="&amp;G256,'C30规则'!$G$5:$G$9,"&lt;="&amp;H256,'C30规则'!$H$5:$H$9,"&gt;="&amp;H256,'C30规则'!$I$5:$I$9,"&lt;="&amp;I256,'C30规则'!$J$5:$J$9,"&gt;="&amp;I256,'C30规则'!$K$5:$K$9,"&lt;="&amp;J256,'C30规则'!$L$5:$L$9,"&gt;="&amp;J256)=1,"通过","检查")</x:f>
        <x:v>通过</x:v>
      </x:c>
      <x:c r="O256" s="29" t="str">
        <x:v>RULE_DERIVED</x:v>
      </x:c>
    </x:row>
    <x:row r="257">
      <x:c r="A257" s="29" t="str">
        <x:v>C30-20260823-003</x:v>
      </x:c>
      <x:c r="B257" s="32" t="n">
        <x:v>46257.404861111114</x:v>
      </x:c>
      <x:c r="C257" s="29" t="str">
        <x:v>C30</x:v>
      </x:c>
      <x:c r="D257" s="29" t="str">
        <x:v>NORMAL</x:v>
      </x:c>
      <x:c r="E257" s="35" t="n">
        <x:v>56.7</x:v>
      </x:c>
      <x:c r="F257" s="41" t="str">
        <x:v>稠度适中，包裹性好，不泌水，不结块，泵送顺畅</x:v>
      </x:c>
      <x:c r="G257" s="38" t="n">
        <x:v>7</x:v>
      </x:c>
      <x:c r="H257" s="38" t="n">
        <x:v>187</x:v>
      </x:c>
      <x:c r="I257" s="38" t="n">
        <x:v>558</x:v>
      </x:c>
      <x:c r="J257" s="35" t="n">
        <x:v>3.2</x:v>
      </x:c>
      <x:c r="K257" s="29" t="str">
        <x:v>合格</x:v>
      </x:c>
      <x:c r="L257" s="41" t="str">
        <x:v>终止搅拌，直接出料；同步记录台账，留存实测参数备查。</x:v>
      </x:c>
      <x:c r="M257" s="29" t="str">
        <x:v>否</x:v>
      </x:c>
      <x:c r="N257" s="29" t="str">
        <x:f>IF(COUNTIFS('C30规则'!$A$5:$A$9,D257,'C30规则'!$C$5:$C$9,"&lt;="&amp;E257,'C30规则'!$D$5:$D$9,"&gt;="&amp;E257,'C30规则'!$E$5:$E$9,"&lt;="&amp;G257,'C30规则'!$F$5:$F$9,"&gt;="&amp;G257,'C30规则'!$G$5:$G$9,"&lt;="&amp;H257,'C30规则'!$H$5:$H$9,"&gt;="&amp;H257,'C30规则'!$I$5:$I$9,"&lt;="&amp;I257,'C30规则'!$J$5:$J$9,"&gt;="&amp;I257,'C30规则'!$K$5:$K$9,"&lt;="&amp;J257,'C30规则'!$L$5:$L$9,"&gt;="&amp;J257)=1,"通过","检查")</x:f>
        <x:v>通过</x:v>
      </x:c>
      <x:c r="O257" s="29" t="str">
        <x:v>RULE_DERIVED</x:v>
      </x:c>
    </x:row>
    <x:row r="258">
      <x:c r="A258" s="29" t="str">
        <x:v>C30-20260823-004</x:v>
      </x:c>
      <x:c r="B258" s="32" t="n">
        <x:v>46257.43819444445</x:v>
      </x:c>
      <x:c r="C258" s="29" t="str">
        <x:v>C30</x:v>
      </x:c>
      <x:c r="D258" s="29" t="str">
        <x:v>NORMAL</x:v>
      </x:c>
      <x:c r="E258" s="35" t="n">
        <x:v>55.4</x:v>
      </x:c>
      <x:c r="F258" s="41" t="str">
        <x:v>稠度适中，包裹性好，不泌水，不结块，泵送顺畅</x:v>
      </x:c>
      <x:c r="G258" s="38" t="n">
        <x:v>17</x:v>
      </x:c>
      <x:c r="H258" s="38" t="n">
        <x:v>197</x:v>
      </x:c>
      <x:c r="I258" s="38" t="n">
        <x:v>568</x:v>
      </x:c>
      <x:c r="J258" s="35" t="n">
        <x:v>2.6</x:v>
      </x:c>
      <x:c r="K258" s="29" t="str">
        <x:v>合格</x:v>
      </x:c>
      <x:c r="L258" s="41" t="str">
        <x:v>终止搅拌，直接出料；同步记录台账，留存实测参数备查。</x:v>
      </x:c>
      <x:c r="M258" s="29" t="str">
        <x:v>否</x:v>
      </x:c>
      <x:c r="N258" s="29" t="str">
        <x:f>IF(COUNTIFS('C30规则'!$A$5:$A$9,D258,'C30规则'!$C$5:$C$9,"&lt;="&amp;E258,'C30规则'!$D$5:$D$9,"&gt;="&amp;E258,'C30规则'!$E$5:$E$9,"&lt;="&amp;G258,'C30规则'!$F$5:$F$9,"&gt;="&amp;G258,'C30规则'!$G$5:$G$9,"&lt;="&amp;H258,'C30规则'!$H$5:$H$9,"&gt;="&amp;H258,'C30规则'!$I$5:$I$9,"&lt;="&amp;I258,'C30规则'!$J$5:$J$9,"&gt;="&amp;I258,'C30规则'!$K$5:$K$9,"&lt;="&amp;J258,'C30规则'!$L$5:$L$9,"&gt;="&amp;J258)=1,"通过","检查")</x:f>
        <x:v>通过</x:v>
      </x:c>
      <x:c r="O258" s="29" t="str">
        <x:v>RULE_DERIVED</x:v>
      </x:c>
    </x:row>
    <x:row r="259">
      <x:c r="A259" s="29" t="str">
        <x:v>C30-20260823-005</x:v>
      </x:c>
      <x:c r="B259" s="32" t="n">
        <x:v>46257.46944444445</x:v>
      </x:c>
      <x:c r="C259" s="29" t="str">
        <x:v>C30</x:v>
      </x:c>
      <x:c r="D259" s="29" t="str">
        <x:v>NORMAL</x:v>
      </x:c>
      <x:c r="E259" s="35" t="n">
        <x:v>55.4</x:v>
      </x:c>
      <x:c r="F259" s="41" t="str">
        <x:v>稠度适中，包裹性好，不泌水，不结块，泵送顺畅</x:v>
      </x:c>
      <x:c r="G259" s="38" t="n">
        <x:v>15</x:v>
      </x:c>
      <x:c r="H259" s="38" t="n">
        <x:v>195</x:v>
      </x:c>
      <x:c r="I259" s="38" t="n">
        <x:v>569</x:v>
      </x:c>
      <x:c r="J259" s="35" t="n">
        <x:v>2.7</x:v>
      </x:c>
      <x:c r="K259" s="29" t="str">
        <x:v>合格</x:v>
      </x:c>
      <x:c r="L259" s="41" t="str">
        <x:v>终止搅拌，直接出料；同步记录台账，留存实测参数备查。</x:v>
      </x:c>
      <x:c r="M259" s="29" t="str">
        <x:v>否</x:v>
      </x:c>
      <x:c r="N259" s="29" t="str">
        <x:f>IF(COUNTIFS('C30规则'!$A$5:$A$9,D259,'C30规则'!$C$5:$C$9,"&lt;="&amp;E259,'C30规则'!$D$5:$D$9,"&gt;="&amp;E259,'C30规则'!$E$5:$E$9,"&lt;="&amp;G259,'C30规则'!$F$5:$F$9,"&gt;="&amp;G259,'C30规则'!$G$5:$G$9,"&lt;="&amp;H259,'C30规则'!$H$5:$H$9,"&gt;="&amp;H259,'C30规则'!$I$5:$I$9,"&lt;="&amp;I259,'C30规则'!$J$5:$J$9,"&gt;="&amp;I259,'C30规则'!$K$5:$K$9,"&lt;="&amp;J259,'C30规则'!$L$5:$L$9,"&gt;="&amp;J259)=1,"通过","检查")</x:f>
        <x:v>通过</x:v>
      </x:c>
      <x:c r="O259" s="29" t="str">
        <x:v>RULE_DERIVED</x:v>
      </x:c>
    </x:row>
    <x:row r="260">
      <x:c r="A260" s="29" t="str">
        <x:v>C30-20260823-006</x:v>
      </x:c>
      <x:c r="B260" s="32" t="n">
        <x:v>46257.5</x:v>
      </x:c>
      <x:c r="C260" s="29" t="str">
        <x:v>C30</x:v>
      </x:c>
      <x:c r="D260" s="29" t="str">
        <x:v>DRY_SEVERE</x:v>
      </x:c>
      <x:c r="E260" s="35" t="n">
        <x:v>79.4</x:v>
      </x:c>
      <x:c r="F260" s="41" t="str">
        <x:v>干涩，结块，挂壁，流动性极差，无法泵送</x:v>
      </x:c>
      <x:c r="G260" s="38" t="n">
        <x:v>-59</x:v>
      </x:c>
      <x:c r="H260" s="38" t="n">
        <x:v>121</x:v>
      </x:c>
      <x:c r="I260" s="38" t="n">
        <x:v>456</x:v>
      </x:c>
      <x:c r="J260" s="35" t="n">
        <x:v>6.9</x:v>
      </x:c>
      <x:c r="K260" s="29" t="str">
        <x:v>不合格</x:v>
      </x:c>
      <x:c r="L260" s="41" t="str">
        <x:v>优先补加0.2%减水剂和5kg清水，搅拌60s后复测。</x:v>
      </x:c>
      <x:c r="M260" s="29" t="str">
        <x:v>是</x:v>
      </x:c>
      <x:c r="N260" s="29" t="str">
        <x:f>IF(COUNTIFS('C30规则'!$A$5:$A$9,D260,'C30规则'!$C$5:$C$9,"&lt;="&amp;E260,'C30规则'!$D$5:$D$9,"&gt;="&amp;E260,'C30规则'!$E$5:$E$9,"&lt;="&amp;G260,'C30规则'!$F$5:$F$9,"&gt;="&amp;G260,'C30规则'!$G$5:$G$9,"&lt;="&amp;H260,'C30规则'!$H$5:$H$9,"&gt;="&amp;H260,'C30规则'!$I$5:$I$9,"&lt;="&amp;I260,'C30规则'!$J$5:$J$9,"&gt;="&amp;I260,'C30规则'!$K$5:$K$9,"&lt;="&amp;J260,'C30规则'!$L$5:$L$9,"&gt;="&amp;J260)=1,"通过","检查")</x:f>
        <x:v>通过</x:v>
      </x:c>
      <x:c r="O260" s="29" t="str">
        <x:v>RULE_DERIVED</x:v>
      </x:c>
    </x:row>
    <x:row r="261">
      <x:c r="A261" s="29" t="str">
        <x:v>C30-20260823-007</x:v>
      </x:c>
      <x:c r="B261" s="32" t="n">
        <x:v>46257.538194444445</x:v>
      </x:c>
      <x:c r="C261" s="29" t="str">
        <x:v>C30</x:v>
      </x:c>
      <x:c r="D261" s="29" t="str">
        <x:v>DRY_MILD</x:v>
      </x:c>
      <x:c r="E261" s="35" t="n">
        <x:v>61.6</x:v>
      </x:c>
      <x:c r="F261" s="41" t="str">
        <x:v>偏干，骨料微裸露，流动性偏弱</x:v>
      </x:c>
      <x:c r="G261" s="38" t="n">
        <x:v>-22</x:v>
      </x:c>
      <x:c r="H261" s="38" t="n">
        <x:v>158</x:v>
      </x:c>
      <x:c r="I261" s="38" t="n">
        <x:v>511</x:v>
      </x:c>
      <x:c r="J261" s="35" t="n">
        <x:v>4.8</x:v>
      </x:c>
      <x:c r="K261" s="29" t="str">
        <x:v>轻微异常</x:v>
      </x:c>
      <x:c r="L261" s="41" t="str">
        <x:v>优先增加聚羧酸减水剂掺量0.1%，搅拌30s后复测，达标后出料。</x:v>
      </x:c>
      <x:c r="M261" s="29" t="str">
        <x:v>是</x:v>
      </x:c>
      <x:c r="N261" s="29" t="str">
        <x:f>IF(COUNTIFS('C30规则'!$A$5:$A$9,D261,'C30规则'!$C$5:$C$9,"&lt;="&amp;E261,'C30规则'!$D$5:$D$9,"&gt;="&amp;E261,'C30规则'!$E$5:$E$9,"&lt;="&amp;G261,'C30规则'!$F$5:$F$9,"&gt;="&amp;G261,'C30规则'!$G$5:$G$9,"&lt;="&amp;H261,'C30规则'!$H$5:$H$9,"&gt;="&amp;H261,'C30规则'!$I$5:$I$9,"&lt;="&amp;I261,'C30规则'!$J$5:$J$9,"&gt;="&amp;I261,'C30规则'!$K$5:$K$9,"&lt;="&amp;J261,'C30规则'!$L$5:$L$9,"&gt;="&amp;J261)=1,"通过","检查")</x:f>
        <x:v>通过</x:v>
      </x:c>
      <x:c r="O261" s="29" t="str">
        <x:v>RULE_DERIVED</x:v>
      </x:c>
    </x:row>
    <x:row r="262">
      <x:c r="A262" s="29" t="str">
        <x:v>C30-20260823-008</x:v>
      </x:c>
      <x:c r="B262" s="32" t="n">
        <x:v>46257.569444444445</x:v>
      </x:c>
      <x:c r="C262" s="29" t="str">
        <x:v>C30</x:v>
      </x:c>
      <x:c r="D262" s="29" t="str">
        <x:v>NORMAL</x:v>
      </x:c>
      <x:c r="E262" s="35" t="n">
        <x:v>55.6</x:v>
      </x:c>
      <x:c r="F262" s="41" t="str">
        <x:v>稠度适中，包裹性好，不泌水，不结块，泵送顺畅</x:v>
      </x:c>
      <x:c r="G262" s="38" t="n">
        <x:v>17</x:v>
      </x:c>
      <x:c r="H262" s="38" t="n">
        <x:v>197</x:v>
      </x:c>
      <x:c r="I262" s="38" t="n">
        <x:v>561</x:v>
      </x:c>
      <x:c r="J262" s="35" t="n">
        <x:v>2.8</x:v>
      </x:c>
      <x:c r="K262" s="29" t="str">
        <x:v>合格</x:v>
      </x:c>
      <x:c r="L262" s="41" t="str">
        <x:v>终止搅拌，直接出料；同步记录台账，留存实测参数备查。</x:v>
      </x:c>
      <x:c r="M262" s="29" t="str">
        <x:v>否</x:v>
      </x:c>
      <x:c r="N262" s="29" t="str">
        <x:f>IF(COUNTIFS('C30规则'!$A$5:$A$9,D262,'C30规则'!$C$5:$C$9,"&lt;="&amp;E262,'C30规则'!$D$5:$D$9,"&gt;="&amp;E262,'C30规则'!$E$5:$E$9,"&lt;="&amp;G262,'C30规则'!$F$5:$F$9,"&gt;="&amp;G262,'C30规则'!$G$5:$G$9,"&lt;="&amp;H262,'C30规则'!$H$5:$H$9,"&gt;="&amp;H262,'C30规则'!$I$5:$I$9,"&lt;="&amp;I262,'C30规则'!$J$5:$J$9,"&gt;="&amp;I262,'C30规则'!$K$5:$K$9,"&lt;="&amp;J262,'C30规则'!$L$5:$L$9,"&gt;="&amp;J262)=1,"通过","检查")</x:f>
        <x:v>通过</x:v>
      </x:c>
      <x:c r="O262" s="29" t="str">
        <x:v>RULE_DERIVED</x:v>
      </x:c>
    </x:row>
    <x:row r="263">
      <x:c r="A263" s="29" t="str">
        <x:v>C30-20260823-009</x:v>
      </x:c>
      <x:c r="B263" s="32" t="n">
        <x:v>46257.6</x:v>
      </x:c>
      <x:c r="C263" s="29" t="str">
        <x:v>C30</x:v>
      </x:c>
      <x:c r="D263" s="29" t="str">
        <x:v>NORMAL</x:v>
      </x:c>
      <x:c r="E263" s="35" t="n">
        <x:v>57.6</x:v>
      </x:c>
      <x:c r="F263" s="41" t="str">
        <x:v>稠度适中，包裹性好，不泌水，不结块，泵送顺畅</x:v>
      </x:c>
      <x:c r="G263" s="38" t="n">
        <x:v>1</x:v>
      </x:c>
      <x:c r="H263" s="38" t="n">
        <x:v>181</x:v>
      </x:c>
      <x:c r="I263" s="38" t="n">
        <x:v>547</x:v>
      </x:c>
      <x:c r="J263" s="35" t="n">
        <x:v>3.4</x:v>
      </x:c>
      <x:c r="K263" s="29" t="str">
        <x:v>合格</x:v>
      </x:c>
      <x:c r="L263" s="41" t="str">
        <x:v>终止搅拌，直接出料；同步记录台账，留存实测参数备查。</x:v>
      </x:c>
      <x:c r="M263" s="29" t="str">
        <x:v>否</x:v>
      </x:c>
      <x:c r="N263" s="29" t="str">
        <x:f>IF(COUNTIFS('C30规则'!$A$5:$A$9,D263,'C30规则'!$C$5:$C$9,"&lt;="&amp;E263,'C30规则'!$D$5:$D$9,"&gt;="&amp;E263,'C30规则'!$E$5:$E$9,"&lt;="&amp;G263,'C30规则'!$F$5:$F$9,"&gt;="&amp;G263,'C30规则'!$G$5:$G$9,"&lt;="&amp;H263,'C30规则'!$H$5:$H$9,"&gt;="&amp;H263,'C30规则'!$I$5:$I$9,"&lt;="&amp;I263,'C30规则'!$J$5:$J$9,"&gt;="&amp;I263,'C30规则'!$K$5:$K$9,"&lt;="&amp;J263,'C30规则'!$L$5:$L$9,"&gt;="&amp;J263)=1,"通过","检查")</x:f>
        <x:v>通过</x:v>
      </x:c>
      <x:c r="O263" s="29" t="str">
        <x:v>RULE_DERIVED</x:v>
      </x:c>
    </x:row>
    <x:row r="264">
      <x:c r="A264" s="29" t="str">
        <x:v>C30-20260823-010</x:v>
      </x:c>
      <x:c r="B264" s="32" t="n">
        <x:v>46257.63402777778</x:v>
      </x:c>
      <x:c r="C264" s="29" t="str">
        <x:v>C30</x:v>
      </x:c>
      <x:c r="D264" s="29" t="str">
        <x:v>DRY_SEVERE</x:v>
      </x:c>
      <x:c r="E264" s="35" t="n">
        <x:v>76.5</x:v>
      </x:c>
      <x:c r="F264" s="41" t="str">
        <x:v>干涩，结块，挂壁，流动性极差，无法泵送</x:v>
      </x:c>
      <x:c r="G264" s="38" t="n">
        <x:v>-54</x:v>
      </x:c>
      <x:c r="H264" s="38" t="n">
        <x:v>126</x:v>
      </x:c>
      <x:c r="I264" s="38" t="n">
        <x:v>463</x:v>
      </x:c>
      <x:c r="J264" s="35" t="n">
        <x:v>6.6</x:v>
      </x:c>
      <x:c r="K264" s="29" t="str">
        <x:v>不合格</x:v>
      </x:c>
      <x:c r="L264" s="41" t="str">
        <x:v>优先补加0.2%减水剂和5kg清水，搅拌60s后复测。</x:v>
      </x:c>
      <x:c r="M264" s="29" t="str">
        <x:v>是</x:v>
      </x:c>
      <x:c r="N264" s="29" t="str">
        <x:f>IF(COUNTIFS('C30规则'!$A$5:$A$9,D264,'C30规则'!$C$5:$C$9,"&lt;="&amp;E264,'C30规则'!$D$5:$D$9,"&gt;="&amp;E264,'C30规则'!$E$5:$E$9,"&lt;="&amp;G264,'C30规则'!$F$5:$F$9,"&gt;="&amp;G264,'C30规则'!$G$5:$G$9,"&lt;="&amp;H264,'C30规则'!$H$5:$H$9,"&gt;="&amp;H264,'C30规则'!$I$5:$I$9,"&lt;="&amp;I264,'C30规则'!$J$5:$J$9,"&gt;="&amp;I264,'C30规则'!$K$5:$K$9,"&lt;="&amp;J264,'C30规则'!$L$5:$L$9,"&gt;="&amp;J264)=1,"通过","检查")</x:f>
        <x:v>通过</x:v>
      </x:c>
      <x:c r="O264" s="29" t="str">
        <x:v>RULE_DERIVED</x:v>
      </x:c>
    </x:row>
    <x:row r="265">
      <x:c r="A265" s="29" t="str">
        <x:v>C30-20260824-001</x:v>
      </x:c>
      <x:c r="B265" s="32" t="n">
        <x:v>46258.33541666667</x:v>
      </x:c>
      <x:c r="C265" s="29" t="str">
        <x:v>C30</x:v>
      </x:c>
      <x:c r="D265" s="29" t="str">
        <x:v>NORMAL</x:v>
      </x:c>
      <x:c r="E265" s="35" t="n">
        <x:v>58.3</x:v>
      </x:c>
      <x:c r="F265" s="41" t="str">
        <x:v>稠度适中，包裹性好，不泌水，不结块，泵送顺畅</x:v>
      </x:c>
      <x:c r="G265" s="38" t="n">
        <x:v>-4</x:v>
      </x:c>
      <x:c r="H265" s="38" t="n">
        <x:v>176</x:v>
      </x:c>
      <x:c r="I265" s="38" t="n">
        <x:v>550</x:v>
      </x:c>
      <x:c r="J265" s="35" t="n">
        <x:v>3.9</x:v>
      </x:c>
      <x:c r="K265" s="29" t="str">
        <x:v>合格</x:v>
      </x:c>
      <x:c r="L265" s="41" t="str">
        <x:v>终止搅拌，直接出料；同步记录台账，留存实测参数备查。</x:v>
      </x:c>
      <x:c r="M265" s="29" t="str">
        <x:v>否</x:v>
      </x:c>
      <x:c r="N265" s="29" t="str">
        <x:f>IF(COUNTIFS('C30规则'!$A$5:$A$9,D265,'C30规则'!$C$5:$C$9,"&lt;="&amp;E265,'C30规则'!$D$5:$D$9,"&gt;="&amp;E265,'C30规则'!$E$5:$E$9,"&lt;="&amp;G265,'C30规则'!$F$5:$F$9,"&gt;="&amp;G265,'C30规则'!$G$5:$G$9,"&lt;="&amp;H265,'C30规则'!$H$5:$H$9,"&gt;="&amp;H265,'C30规则'!$I$5:$I$9,"&lt;="&amp;I265,'C30规则'!$J$5:$J$9,"&gt;="&amp;I265,'C30规则'!$K$5:$K$9,"&lt;="&amp;J265,'C30规则'!$L$5:$L$9,"&gt;="&amp;J265)=1,"通过","检查")</x:f>
        <x:v>通过</x:v>
      </x:c>
      <x:c r="O265" s="29" t="str">
        <x:v>RULE_DERIVED</x:v>
      </x:c>
    </x:row>
    <x:row r="266">
      <x:c r="A266" s="29" t="str">
        <x:v>C30-20260824-002</x:v>
      </x:c>
      <x:c r="B266" s="32" t="n">
        <x:v>46258.368055555555</x:v>
      </x:c>
      <x:c r="C266" s="29" t="str">
        <x:v>C30</x:v>
      </x:c>
      <x:c r="D266" s="29" t="str">
        <x:v>NORMAL</x:v>
      </x:c>
      <x:c r="E266" s="35" t="n">
        <x:v>55.3</x:v>
      </x:c>
      <x:c r="F266" s="41" t="str">
        <x:v>稠度适中，包裹性好，不泌水，不结块，泵送顺畅</x:v>
      </x:c>
      <x:c r="G266" s="38" t="n">
        <x:v>17</x:v>
      </x:c>
      <x:c r="H266" s="38" t="n">
        <x:v>197</x:v>
      </x:c>
      <x:c r="I266" s="38" t="n">
        <x:v>567</x:v>
      </x:c>
      <x:c r="J266" s="35" t="n">
        <x:v>2.7</x:v>
      </x:c>
      <x:c r="K266" s="29" t="str">
        <x:v>合格</x:v>
      </x:c>
      <x:c r="L266" s="41" t="str">
        <x:v>终止搅拌，直接出料；同步记录台账，留存实测参数备查。</x:v>
      </x:c>
      <x:c r="M266" s="29" t="str">
        <x:v>否</x:v>
      </x:c>
      <x:c r="N266" s="29" t="str">
        <x:f>IF(COUNTIFS('C30规则'!$A$5:$A$9,D266,'C30规则'!$C$5:$C$9,"&lt;="&amp;E266,'C30规则'!$D$5:$D$9,"&gt;="&amp;E266,'C30规则'!$E$5:$E$9,"&lt;="&amp;G266,'C30规则'!$F$5:$F$9,"&gt;="&amp;G266,'C30规则'!$G$5:$G$9,"&lt;="&amp;H266,'C30规则'!$H$5:$H$9,"&gt;="&amp;H266,'C30规则'!$I$5:$I$9,"&lt;="&amp;I266,'C30规则'!$J$5:$J$9,"&gt;="&amp;I266,'C30规则'!$K$5:$K$9,"&lt;="&amp;J266,'C30规则'!$L$5:$L$9,"&gt;="&amp;J266)=1,"通过","检查")</x:f>
        <x:v>通过</x:v>
      </x:c>
      <x:c r="O266" s="29" t="str">
        <x:v>RULE_DERIVED</x:v>
      </x:c>
    </x:row>
    <x:row r="267">
      <x:c r="A267" s="29" t="str">
        <x:v>C30-20260824-003</x:v>
      </x:c>
      <x:c r="B267" s="32" t="n">
        <x:v>46258.40347222222</x:v>
      </x:c>
      <x:c r="C267" s="29" t="str">
        <x:v>C30</x:v>
      </x:c>
      <x:c r="D267" s="29" t="str">
        <x:v>WET_MILD</x:v>
      </x:c>
      <x:c r="E267" s="35" t="n">
        <x:v>51.3</x:v>
      </x:c>
      <x:c r="F267" s="41" t="str">
        <x:v>偏稀，流动性偏大，无泌水</x:v>
      </x:c>
      <x:c r="G267" s="38" t="n">
        <x:v>26</x:v>
      </x:c>
      <x:c r="H267" s="38" t="n">
        <x:v>206</x:v>
      </x:c>
      <x:c r="I267" s="38" t="n">
        <x:v>587</x:v>
      </x:c>
      <x:c r="J267" s="35" t="n">
        <x:v>2.1</x:v>
      </x:c>
      <x:c r="K267" s="29" t="str">
        <x:v>轻微异常</x:v>
      </x:c>
      <x:c r="L267" s="41" t="str">
        <x:v>加入5–8kg/m³干砂，搅拌30s后复测，达标后正常出料并观察泵送。</x:v>
      </x:c>
      <x:c r="M267" s="29" t="str">
        <x:v>是</x:v>
      </x:c>
      <x:c r="N267" s="29" t="str">
        <x:f>IF(COUNTIFS('C30规则'!$A$5:$A$9,D267,'C30规则'!$C$5:$C$9,"&lt;="&amp;E267,'C30规则'!$D$5:$D$9,"&gt;="&amp;E267,'C30规则'!$E$5:$E$9,"&lt;="&amp;G267,'C30规则'!$F$5:$F$9,"&gt;="&amp;G267,'C30规则'!$G$5:$G$9,"&lt;="&amp;H267,'C30规则'!$H$5:$H$9,"&gt;="&amp;H267,'C30规则'!$I$5:$I$9,"&lt;="&amp;I267,'C30规则'!$J$5:$J$9,"&gt;="&amp;I267,'C30规则'!$K$5:$K$9,"&lt;="&amp;J267,'C30规则'!$L$5:$L$9,"&gt;="&amp;J267)=1,"通过","检查")</x:f>
        <x:v>通过</x:v>
      </x:c>
      <x:c r="O267" s="29" t="str">
        <x:v>RULE_DERIVED</x:v>
      </x:c>
    </x:row>
    <x:row r="268">
      <x:c r="A268" s="29" t="str">
        <x:v>C30-20260824-004</x:v>
      </x:c>
      <x:c r="B268" s="32" t="n">
        <x:v>46258.43402777778</x:v>
      </x:c>
      <x:c r="C268" s="29" t="str">
        <x:v>C30</x:v>
      </x:c>
      <x:c r="D268" s="29" t="str">
        <x:v>DRY_SEVERE</x:v>
      </x:c>
      <x:c r="E268" s="35" t="n">
        <x:v>79</x:v>
      </x:c>
      <x:c r="F268" s="41" t="str">
        <x:v>干涩，结块，挂壁，流动性极差，无法泵送</x:v>
      </x:c>
      <x:c r="G268" s="38" t="n">
        <x:v>-60</x:v>
      </x:c>
      <x:c r="H268" s="38" t="n">
        <x:v>120</x:v>
      </x:c>
      <x:c r="I268" s="38" t="n">
        <x:v>454</x:v>
      </x:c>
      <x:c r="J268" s="35" t="n">
        <x:v>6.9</x:v>
      </x:c>
      <x:c r="K268" s="29" t="str">
        <x:v>不合格</x:v>
      </x:c>
      <x:c r="L268" s="41" t="str">
        <x:v>优先补加0.2%减水剂和5kg清水，搅拌60s后复测。</x:v>
      </x:c>
      <x:c r="M268" s="29" t="str">
        <x:v>是</x:v>
      </x:c>
      <x:c r="N268" s="29" t="str">
        <x:f>IF(COUNTIFS('C30规则'!$A$5:$A$9,D268,'C30规则'!$C$5:$C$9,"&lt;="&amp;E268,'C30规则'!$D$5:$D$9,"&gt;="&amp;E268,'C30规则'!$E$5:$E$9,"&lt;="&amp;G268,'C30规则'!$F$5:$F$9,"&gt;="&amp;G268,'C30规则'!$G$5:$G$9,"&lt;="&amp;H268,'C30规则'!$H$5:$H$9,"&gt;="&amp;H268,'C30规则'!$I$5:$I$9,"&lt;="&amp;I268,'C30规则'!$J$5:$J$9,"&gt;="&amp;I268,'C30规则'!$K$5:$K$9,"&lt;="&amp;J268,'C30规则'!$L$5:$L$9,"&gt;="&amp;J268)=1,"通过","检查")</x:f>
        <x:v>通过</x:v>
      </x:c>
      <x:c r="O268" s="29" t="str">
        <x:v>RULE_DERIVED</x:v>
      </x:c>
    </x:row>
    <x:row r="269">
      <x:c r="A269" s="29" t="str">
        <x:v>C30-20260824-005</x:v>
      </x:c>
      <x:c r="B269" s="32" t="n">
        <x:v>46258.46666666667</x:v>
      </x:c>
      <x:c r="C269" s="29" t="str">
        <x:v>C30</x:v>
      </x:c>
      <x:c r="D269" s="29" t="str">
        <x:v>DRY_SEVERE</x:v>
      </x:c>
      <x:c r="E269" s="35" t="n">
        <x:v>72.7</x:v>
      </x:c>
      <x:c r="F269" s="41" t="str">
        <x:v>干涩，结块，挂壁，流动性极差，无法泵送</x:v>
      </x:c>
      <x:c r="G269" s="38" t="n">
        <x:v>-43</x:v>
      </x:c>
      <x:c r="H269" s="38" t="n">
        <x:v>137</x:v>
      </x:c>
      <x:c r="I269" s="38" t="n">
        <x:v>485</x:v>
      </x:c>
      <x:c r="J269" s="35" t="n">
        <x:v>5.8</x:v>
      </x:c>
      <x:c r="K269" s="29" t="str">
        <x:v>不合格</x:v>
      </x:c>
      <x:c r="L269" s="41" t="str">
        <x:v>优先补加0.2%减水剂和5kg清水，搅拌60s后复测。</x:v>
      </x:c>
      <x:c r="M269" s="29" t="str">
        <x:v>是</x:v>
      </x:c>
      <x:c r="N269" s="29" t="str">
        <x:f>IF(COUNTIFS('C30规则'!$A$5:$A$9,D269,'C30规则'!$C$5:$C$9,"&lt;="&amp;E269,'C30规则'!$D$5:$D$9,"&gt;="&amp;E269,'C30规则'!$E$5:$E$9,"&lt;="&amp;G269,'C30规则'!$F$5:$F$9,"&gt;="&amp;G269,'C30规则'!$G$5:$G$9,"&lt;="&amp;H269,'C30规则'!$H$5:$H$9,"&gt;="&amp;H269,'C30规则'!$I$5:$I$9,"&lt;="&amp;I269,'C30规则'!$J$5:$J$9,"&gt;="&amp;I269,'C30规则'!$K$5:$K$9,"&lt;="&amp;J269,'C30规则'!$L$5:$L$9,"&gt;="&amp;J269)=1,"通过","检查")</x:f>
        <x:v>通过</x:v>
      </x:c>
      <x:c r="O269" s="29" t="str">
        <x:v>RULE_DERIVED</x:v>
      </x:c>
    </x:row>
    <x:row r="270">
      <x:c r="A270" s="29" t="str">
        <x:v>C30-20260824-006</x:v>
      </x:c>
      <x:c r="B270" s="32" t="n">
        <x:v>46258.5</x:v>
      </x:c>
      <x:c r="C270" s="29" t="str">
        <x:v>C30</x:v>
      </x:c>
      <x:c r="D270" s="29" t="str">
        <x:v>DRY_SEVERE</x:v>
      </x:c>
      <x:c r="E270" s="35" t="n">
        <x:v>71.5</x:v>
      </x:c>
      <x:c r="F270" s="41" t="str">
        <x:v>干涩，结块，挂壁，流动性极差，无法泵送</x:v>
      </x:c>
      <x:c r="G270" s="38" t="n">
        <x:v>-44</x:v>
      </x:c>
      <x:c r="H270" s="38" t="n">
        <x:v>136</x:v>
      </x:c>
      <x:c r="I270" s="38" t="n">
        <x:v>485</x:v>
      </x:c>
      <x:c r="J270" s="35" t="n">
        <x:v>5.8</x:v>
      </x:c>
      <x:c r="K270" s="29" t="str">
        <x:v>不合格</x:v>
      </x:c>
      <x:c r="L270" s="41" t="str">
        <x:v>优先补加0.2%减水剂和5kg清水，搅拌60s后复测。</x:v>
      </x:c>
      <x:c r="M270" s="29" t="str">
        <x:v>是</x:v>
      </x:c>
      <x:c r="N270" s="29" t="str">
        <x:f>IF(COUNTIFS('C30规则'!$A$5:$A$9,D270,'C30规则'!$C$5:$C$9,"&lt;="&amp;E270,'C30规则'!$D$5:$D$9,"&gt;="&amp;E270,'C30规则'!$E$5:$E$9,"&lt;="&amp;G270,'C30规则'!$F$5:$F$9,"&gt;="&amp;G270,'C30规则'!$G$5:$G$9,"&lt;="&amp;H270,'C30规则'!$H$5:$H$9,"&gt;="&amp;H270,'C30规则'!$I$5:$I$9,"&lt;="&amp;I270,'C30规则'!$J$5:$J$9,"&gt;="&amp;I270,'C30规则'!$K$5:$K$9,"&lt;="&amp;J270,'C30规则'!$L$5:$L$9,"&gt;="&amp;J270)=1,"通过","检查")</x:f>
        <x:v>通过</x:v>
      </x:c>
      <x:c r="O270" s="29" t="str">
        <x:v>RULE_DERIVED</x:v>
      </x:c>
    </x:row>
    <x:row r="271">
      <x:c r="A271" s="29" t="str">
        <x:v>C30-20260824-007</x:v>
      </x:c>
      <x:c r="B271" s="32" t="n">
        <x:v>46258.5375</x:v>
      </x:c>
      <x:c r="C271" s="29" t="str">
        <x:v>C30</x:v>
      </x:c>
      <x:c r="D271" s="29" t="str">
        <x:v>DRY_MILD</x:v>
      </x:c>
      <x:c r="E271" s="35" t="n">
        <x:v>65.5</x:v>
      </x:c>
      <x:c r="F271" s="41" t="str">
        <x:v>偏干，骨料微裸露，流动性偏弱</x:v>
      </x:c>
      <x:c r="G271" s="38" t="n">
        <x:v>-23</x:v>
      </x:c>
      <x:c r="H271" s="38" t="n">
        <x:v>157</x:v>
      </x:c>
      <x:c r="I271" s="38" t="n">
        <x:v>515</x:v>
      </x:c>
      <x:c r="J271" s="35" t="n">
        <x:v>5</x:v>
      </x:c>
      <x:c r="K271" s="29" t="str">
        <x:v>轻微异常</x:v>
      </x:c>
      <x:c r="L271" s="41" t="str">
        <x:v>优先增加聚羧酸减水剂掺量0.1%，搅拌30s后复测，达标后出料。</x:v>
      </x:c>
      <x:c r="M271" s="29" t="str">
        <x:v>是</x:v>
      </x:c>
      <x:c r="N271" s="29" t="str">
        <x:f>IF(COUNTIFS('C30规则'!$A$5:$A$9,D271,'C30规则'!$C$5:$C$9,"&lt;="&amp;E271,'C30规则'!$D$5:$D$9,"&gt;="&amp;E271,'C30规则'!$E$5:$E$9,"&lt;="&amp;G271,'C30规则'!$F$5:$F$9,"&gt;="&amp;G271,'C30规则'!$G$5:$G$9,"&lt;="&amp;H271,'C30规则'!$H$5:$H$9,"&gt;="&amp;H271,'C30规则'!$I$5:$I$9,"&lt;="&amp;I271,'C30规则'!$J$5:$J$9,"&gt;="&amp;I271,'C30规则'!$K$5:$K$9,"&lt;="&amp;J271,'C30规则'!$L$5:$L$9,"&gt;="&amp;J271)=1,"通过","检查")</x:f>
        <x:v>通过</x:v>
      </x:c>
      <x:c r="O271" s="29" t="str">
        <x:v>RULE_DERIVED</x:v>
      </x:c>
    </x:row>
    <x:row r="272">
      <x:c r="A272" s="29" t="str">
        <x:v>C30-20260824-008</x:v>
      </x:c>
      <x:c r="B272" s="32" t="n">
        <x:v>46258.569444444445</x:v>
      </x:c>
      <x:c r="C272" s="29" t="str">
        <x:v>C30</x:v>
      </x:c>
      <x:c r="D272" s="29" t="str">
        <x:v>WET_MILD</x:v>
      </x:c>
      <x:c r="E272" s="35" t="n">
        <x:v>47.7</x:v>
      </x:c>
      <x:c r="F272" s="41" t="str">
        <x:v>偏稀，流动性偏大，无泌水</x:v>
      </x:c>
      <x:c r="G272" s="38" t="n">
        <x:v>24</x:v>
      </x:c>
      <x:c r="H272" s="38" t="n">
        <x:v>204</x:v>
      </x:c>
      <x:c r="I272" s="38" t="n">
        <x:v>601</x:v>
      </x:c>
      <x:c r="J272" s="35" t="n">
        <x:v>2</x:v>
      </x:c>
      <x:c r="K272" s="29" t="str">
        <x:v>轻微异常</x:v>
      </x:c>
      <x:c r="L272" s="41" t="str">
        <x:v>加入5–8kg/m³干砂，搅拌30s后复测，达标后正常出料并观察泵送。</x:v>
      </x:c>
      <x:c r="M272" s="29" t="str">
        <x:v>是</x:v>
      </x:c>
      <x:c r="N272" s="29" t="str">
        <x:f>IF(COUNTIFS('C30规则'!$A$5:$A$9,D272,'C30规则'!$C$5:$C$9,"&lt;="&amp;E272,'C30规则'!$D$5:$D$9,"&gt;="&amp;E272,'C30规则'!$E$5:$E$9,"&lt;="&amp;G272,'C30规则'!$F$5:$F$9,"&gt;="&amp;G272,'C30规则'!$G$5:$G$9,"&lt;="&amp;H272,'C30规则'!$H$5:$H$9,"&gt;="&amp;H272,'C30规则'!$I$5:$I$9,"&lt;="&amp;I272,'C30规则'!$J$5:$J$9,"&gt;="&amp;I272,'C30规则'!$K$5:$K$9,"&lt;="&amp;J272,'C30规则'!$L$5:$L$9,"&gt;="&amp;J272)=1,"通过","检查")</x:f>
        <x:v>通过</x:v>
      </x:c>
      <x:c r="O272" s="29" t="str">
        <x:v>RULE_DERIVED</x:v>
      </x:c>
    </x:row>
    <x:row r="273">
      <x:c r="A273" s="29" t="str">
        <x:v>C30-20260824-009</x:v>
      </x:c>
      <x:c r="B273" s="32" t="n">
        <x:v>46258.6</x:v>
      </x:c>
      <x:c r="C273" s="29" t="str">
        <x:v>C30</x:v>
      </x:c>
      <x:c r="D273" s="29" t="str">
        <x:v>WET_SEVERE</x:v>
      </x:c>
      <x:c r="E273" s="35" t="n">
        <x:v>44.4</x:v>
      </x:c>
      <x:c r="F273" s="41" t="str">
        <x:v>过稀，泌水，离析，骨料下沉，存在堵泵风险</x:v>
      </x:c>
      <x:c r="G273" s="38" t="n">
        <x:v>50</x:v>
      </x:c>
      <x:c r="H273" s="38" t="n">
        <x:v>230</x:v>
      </x:c>
      <x:c r="I273" s="38" t="n">
        <x:v>636</x:v>
      </x:c>
      <x:c r="J273" s="35" t="n">
        <x:v>1.2</x:v>
      </x:c>
      <x:c r="K273" s="29" t="str">
        <x:v>不合格</x:v>
      </x:c>
      <x:c r="L273" s="41" t="str">
        <x:v>立即暂停出料；加入10–12kg/m³干砂和3–5kg/m³水泥，搅拌60s后复测；仍离析则废弃并排查计量系统。</x:v>
      </x:c>
      <x:c r="M273" s="29" t="str">
        <x:v>是</x:v>
      </x:c>
      <x:c r="N273" s="29" t="str">
        <x:f>IF(COUNTIFS('C30规则'!$A$5:$A$9,D273,'C30规则'!$C$5:$C$9,"&lt;="&amp;E273,'C30规则'!$D$5:$D$9,"&gt;="&amp;E273,'C30规则'!$E$5:$E$9,"&lt;="&amp;G273,'C30规则'!$F$5:$F$9,"&gt;="&amp;G273,'C30规则'!$G$5:$G$9,"&lt;="&amp;H273,'C30规则'!$H$5:$H$9,"&gt;="&amp;H273,'C30规则'!$I$5:$I$9,"&lt;="&amp;I273,'C30规则'!$J$5:$J$9,"&gt;="&amp;I273,'C30规则'!$K$5:$K$9,"&lt;="&amp;J273,'C30规则'!$L$5:$L$9,"&gt;="&amp;J273)=1,"通过","检查")</x:f>
        <x:v>通过</x:v>
      </x:c>
      <x:c r="O273" s="29" t="str">
        <x:v>RULE_DERIVED</x:v>
      </x:c>
    </x:row>
    <x:row r="274">
      <x:c r="A274" s="29" t="str">
        <x:v>C30-20260824-010</x:v>
      </x:c>
      <x:c r="B274" s="32" t="n">
        <x:v>46258.635416666664</x:v>
      </x:c>
      <x:c r="C274" s="29" t="str">
        <x:v>C30</x:v>
      </x:c>
      <x:c r="D274" s="29" t="str">
        <x:v>DRY_SEVERE</x:v>
      </x:c>
      <x:c r="E274" s="35" t="n">
        <x:v>77.1</x:v>
      </x:c>
      <x:c r="F274" s="41" t="str">
        <x:v>干涩，结块，挂壁，流动性极差，无法泵送</x:v>
      </x:c>
      <x:c r="G274" s="38" t="n">
        <x:v>-52</x:v>
      </x:c>
      <x:c r="H274" s="38" t="n">
        <x:v>128</x:v>
      </x:c>
      <x:c r="I274" s="38" t="n">
        <x:v>461</x:v>
      </x:c>
      <x:c r="J274" s="35" t="n">
        <x:v>6.4</x:v>
      </x:c>
      <x:c r="K274" s="29" t="str">
        <x:v>不合格</x:v>
      </x:c>
      <x:c r="L274" s="41" t="str">
        <x:v>优先补加0.2%减水剂和5kg清水，搅拌60s后复测。</x:v>
      </x:c>
      <x:c r="M274" s="29" t="str">
        <x:v>是</x:v>
      </x:c>
      <x:c r="N274" s="29" t="str">
        <x:f>IF(COUNTIFS('C30规则'!$A$5:$A$9,D274,'C30规则'!$C$5:$C$9,"&lt;="&amp;E274,'C30规则'!$D$5:$D$9,"&gt;="&amp;E274,'C30规则'!$E$5:$E$9,"&lt;="&amp;G274,'C30规则'!$F$5:$F$9,"&gt;="&amp;G274,'C30规则'!$G$5:$G$9,"&lt;="&amp;H274,'C30规则'!$H$5:$H$9,"&gt;="&amp;H274,'C30规则'!$I$5:$I$9,"&lt;="&amp;I274,'C30规则'!$J$5:$J$9,"&gt;="&amp;I274,'C30规则'!$K$5:$K$9,"&lt;="&amp;J274,'C30规则'!$L$5:$L$9,"&gt;="&amp;J274)=1,"通过","检查")</x:f>
        <x:v>通过</x:v>
      </x:c>
      <x:c r="O274" s="29" t="str">
        <x:v>RULE_DERIVED</x:v>
      </x:c>
    </x:row>
    <x:row r="275">
      <x:c r="A275" s="29" t="str">
        <x:v>C30-20260825-001</x:v>
      </x:c>
      <x:c r="B275" s="32" t="n">
        <x:v>46259.333333333336</x:v>
      </x:c>
      <x:c r="C275" s="29" t="str">
        <x:v>C30</x:v>
      </x:c>
      <x:c r="D275" s="29" t="str">
        <x:v>NORMAL</x:v>
      </x:c>
      <x:c r="E275" s="35" t="n">
        <x:v>59.2</x:v>
      </x:c>
      <x:c r="F275" s="41" t="str">
        <x:v>稠度适中，包裹性好，不泌水，不结块，泵送顺畅</x:v>
      </x:c>
      <x:c r="G275" s="38" t="n">
        <x:v>-14</x:v>
      </x:c>
      <x:c r="H275" s="38" t="n">
        <x:v>166</x:v>
      </x:c>
      <x:c r="I275" s="38" t="n">
        <x:v>538</x:v>
      </x:c>
      <x:c r="J275" s="35" t="n">
        <x:v>4.2</x:v>
      </x:c>
      <x:c r="K275" s="29" t="str">
        <x:v>合格</x:v>
      </x:c>
      <x:c r="L275" s="41" t="str">
        <x:v>终止搅拌，直接出料；同步记录台账，留存实测参数备查。</x:v>
      </x:c>
      <x:c r="M275" s="29" t="str">
        <x:v>否</x:v>
      </x:c>
      <x:c r="N275" s="29" t="str">
        <x:f>IF(COUNTIFS('C30规则'!$A$5:$A$9,D275,'C30规则'!$C$5:$C$9,"&lt;="&amp;E275,'C30规则'!$D$5:$D$9,"&gt;="&amp;E275,'C30规则'!$E$5:$E$9,"&lt;="&amp;G275,'C30规则'!$F$5:$F$9,"&gt;="&amp;G275,'C30规则'!$G$5:$G$9,"&lt;="&amp;H275,'C30规则'!$H$5:$H$9,"&gt;="&amp;H275,'C30规则'!$I$5:$I$9,"&lt;="&amp;I275,'C30规则'!$J$5:$J$9,"&gt;="&amp;I275,'C30规则'!$K$5:$K$9,"&lt;="&amp;J275,'C30规则'!$L$5:$L$9,"&gt;="&amp;J275)=1,"通过","检查")</x:f>
        <x:v>通过</x:v>
      </x:c>
      <x:c r="O275" s="29" t="str">
        <x:v>RULE_DERIVED</x:v>
      </x:c>
    </x:row>
    <x:row r="276">
      <x:c r="A276" s="29" t="str">
        <x:v>C30-20260825-002</x:v>
      </x:c>
      <x:c r="B276" s="32" t="n">
        <x:v>46259.36736111111</x:v>
      </x:c>
      <x:c r="C276" s="29" t="str">
        <x:v>C30</x:v>
      </x:c>
      <x:c r="D276" s="29" t="str">
        <x:v>DRY_MILD</x:v>
      </x:c>
      <x:c r="E276" s="35" t="n">
        <x:v>62.5</x:v>
      </x:c>
      <x:c r="F276" s="41" t="str">
        <x:v>偏干，骨料微裸露，流动性偏弱</x:v>
      </x:c>
      <x:c r="G276" s="38" t="n">
        <x:v>-23</x:v>
      </x:c>
      <x:c r="H276" s="38" t="n">
        <x:v>157</x:v>
      </x:c>
      <x:c r="I276" s="38" t="n">
        <x:v>513</x:v>
      </x:c>
      <x:c r="J276" s="35" t="n">
        <x:v>4.8</x:v>
      </x:c>
      <x:c r="K276" s="29" t="str">
        <x:v>轻微异常</x:v>
      </x:c>
      <x:c r="L276" s="41" t="str">
        <x:v>优先增加聚羧酸减水剂掺量0.1%，搅拌30s后复测，达标后出料。</x:v>
      </x:c>
      <x:c r="M276" s="29" t="str">
        <x:v>是</x:v>
      </x:c>
      <x:c r="N276" s="29" t="str">
        <x:f>IF(COUNTIFS('C30规则'!$A$5:$A$9,D276,'C30规则'!$C$5:$C$9,"&lt;="&amp;E276,'C30规则'!$D$5:$D$9,"&gt;="&amp;E276,'C30规则'!$E$5:$E$9,"&lt;="&amp;G276,'C30规则'!$F$5:$F$9,"&gt;="&amp;G276,'C30规则'!$G$5:$G$9,"&lt;="&amp;H276,'C30规则'!$H$5:$H$9,"&gt;="&amp;H276,'C30规则'!$I$5:$I$9,"&lt;="&amp;I276,'C30规则'!$J$5:$J$9,"&gt;="&amp;I276,'C30规则'!$K$5:$K$9,"&lt;="&amp;J276,'C30规则'!$L$5:$L$9,"&gt;="&amp;J276)=1,"通过","检查")</x:f>
        <x:v>通过</x:v>
      </x:c>
      <x:c r="O276" s="29" t="str">
        <x:v>RULE_DERIVED</x:v>
      </x:c>
    </x:row>
    <x:row r="277">
      <x:c r="A277" s="29" t="str">
        <x:v>C30-20260825-003</x:v>
      </x:c>
      <x:c r="B277" s="32" t="n">
        <x:v>46259.40416666667</x:v>
      </x:c>
      <x:c r="C277" s="29" t="str">
        <x:v>C30</x:v>
      </x:c>
      <x:c r="D277" s="29" t="str">
        <x:v>DRY_MILD</x:v>
      </x:c>
      <x:c r="E277" s="35" t="n">
        <x:v>61.7</x:v>
      </x:c>
      <x:c r="F277" s="41" t="str">
        <x:v>偏干，骨料微裸露，流动性偏弱</x:v>
      </x:c>
      <x:c r="G277" s="38" t="n">
        <x:v>-21</x:v>
      </x:c>
      <x:c r="H277" s="38" t="n">
        <x:v>159</x:v>
      </x:c>
      <x:c r="I277" s="38" t="n">
        <x:v>518</x:v>
      </x:c>
      <x:c r="J277" s="35" t="n">
        <x:v>4.7</x:v>
      </x:c>
      <x:c r="K277" s="29" t="str">
        <x:v>轻微异常</x:v>
      </x:c>
      <x:c r="L277" s="41" t="str">
        <x:v>优先增加聚羧酸减水剂掺量0.1%，搅拌30s后复测，达标后出料。</x:v>
      </x:c>
      <x:c r="M277" s="29" t="str">
        <x:v>是</x:v>
      </x:c>
      <x:c r="N277" s="29" t="str">
        <x:f>IF(COUNTIFS('C30规则'!$A$5:$A$9,D277,'C30规则'!$C$5:$C$9,"&lt;="&amp;E277,'C30规则'!$D$5:$D$9,"&gt;="&amp;E277,'C30规则'!$E$5:$E$9,"&lt;="&amp;G277,'C30规则'!$F$5:$F$9,"&gt;="&amp;G277,'C30规则'!$G$5:$G$9,"&lt;="&amp;H277,'C30规则'!$H$5:$H$9,"&gt;="&amp;H277,'C30规则'!$I$5:$I$9,"&lt;="&amp;I277,'C30规则'!$J$5:$J$9,"&gt;="&amp;I277,'C30规则'!$K$5:$K$9,"&lt;="&amp;J277,'C30规则'!$L$5:$L$9,"&gt;="&amp;J277)=1,"通过","检查")</x:f>
        <x:v>通过</x:v>
      </x:c>
      <x:c r="O277" s="29" t="str">
        <x:v>RULE_DERIVED</x:v>
      </x:c>
    </x:row>
    <x:row r="278">
      <x:c r="A278" s="29" t="str">
        <x:v>C30-20260825-004</x:v>
      </x:c>
      <x:c r="B278" s="32" t="n">
        <x:v>46259.436111111114</x:v>
      </x:c>
      <x:c r="C278" s="29" t="str">
        <x:v>C30</x:v>
      </x:c>
      <x:c r="D278" s="29" t="str">
        <x:v>DRY_MILD</x:v>
      </x:c>
      <x:c r="E278" s="35" t="n">
        <x:v>66</x:v>
      </x:c>
      <x:c r="F278" s="41" t="str">
        <x:v>偏干，骨料微裸露，流动性偏弱</x:v>
      </x:c>
      <x:c r="G278" s="38" t="n">
        <x:v>-23</x:v>
      </x:c>
      <x:c r="H278" s="38" t="n">
        <x:v>157</x:v>
      </x:c>
      <x:c r="I278" s="38" t="n">
        <x:v>514</x:v>
      </x:c>
      <x:c r="J278" s="35" t="n">
        <x:v>5.1</x:v>
      </x:c>
      <x:c r="K278" s="29" t="str">
        <x:v>轻微异常</x:v>
      </x:c>
      <x:c r="L278" s="41" t="str">
        <x:v>优先增加聚羧酸减水剂掺量0.1%，搅拌30s后复测，达标后出料。</x:v>
      </x:c>
      <x:c r="M278" s="29" t="str">
        <x:v>是</x:v>
      </x:c>
      <x:c r="N278" s="29" t="str">
        <x:f>IF(COUNTIFS('C30规则'!$A$5:$A$9,D278,'C30规则'!$C$5:$C$9,"&lt;="&amp;E278,'C30规则'!$D$5:$D$9,"&gt;="&amp;E278,'C30规则'!$E$5:$E$9,"&lt;="&amp;G278,'C30规则'!$F$5:$F$9,"&gt;="&amp;G278,'C30规则'!$G$5:$G$9,"&lt;="&amp;H278,'C30规则'!$H$5:$H$9,"&gt;="&amp;H278,'C30规则'!$I$5:$I$9,"&lt;="&amp;I278,'C30规则'!$J$5:$J$9,"&gt;="&amp;I278,'C30规则'!$K$5:$K$9,"&lt;="&amp;J278,'C30规则'!$L$5:$L$9,"&gt;="&amp;J278)=1,"通过","检查")</x:f>
        <x:v>通过</x:v>
      </x:c>
      <x:c r="O278" s="29" t="str">
        <x:v>RULE_DERIVED</x:v>
      </x:c>
    </x:row>
    <x:row r="279">
      <x:c r="A279" s="29" t="str">
        <x:v>C30-20260825-005</x:v>
      </x:c>
      <x:c r="B279" s="32" t="n">
        <x:v>46259.467361111114</x:v>
      </x:c>
      <x:c r="C279" s="29" t="str">
        <x:v>C30</x:v>
      </x:c>
      <x:c r="D279" s="29" t="str">
        <x:v>WET_SEVERE</x:v>
      </x:c>
      <x:c r="E279" s="35" t="n">
        <x:v>40.9</x:v>
      </x:c>
      <x:c r="F279" s="41" t="str">
        <x:v>过稀，泌水，离析，骨料下沉，存在堵泵风险</x:v>
      </x:c>
      <x:c r="G279" s="38" t="n">
        <x:v>55</x:v>
      </x:c>
      <x:c r="H279" s="38" t="n">
        <x:v>235</x:v>
      </x:c>
      <x:c r="I279" s="38" t="n">
        <x:v>658</x:v>
      </x:c>
      <x:c r="J279" s="35" t="n">
        <x:v>1.1</x:v>
      </x:c>
      <x:c r="K279" s="29" t="str">
        <x:v>不合格</x:v>
      </x:c>
      <x:c r="L279" s="41" t="str">
        <x:v>立即暂停出料；加入10–12kg/m³干砂和3–5kg/m³水泥，搅拌60s后复测；仍离析则废弃并排查计量系统。</x:v>
      </x:c>
      <x:c r="M279" s="29" t="str">
        <x:v>是</x:v>
      </x:c>
      <x:c r="N279" s="29" t="str">
        <x:f>IF(COUNTIFS('C30规则'!$A$5:$A$9,D279,'C30规则'!$C$5:$C$9,"&lt;="&amp;E279,'C30规则'!$D$5:$D$9,"&gt;="&amp;E279,'C30规则'!$E$5:$E$9,"&lt;="&amp;G279,'C30规则'!$F$5:$F$9,"&gt;="&amp;G279,'C30规则'!$G$5:$G$9,"&lt;="&amp;H279,'C30规则'!$H$5:$H$9,"&gt;="&amp;H279,'C30规则'!$I$5:$I$9,"&lt;="&amp;I279,'C30规则'!$J$5:$J$9,"&gt;="&amp;I279,'C30规则'!$K$5:$K$9,"&lt;="&amp;J279,'C30规则'!$L$5:$L$9,"&gt;="&amp;J279)=1,"通过","检查")</x:f>
        <x:v>通过</x:v>
      </x:c>
      <x:c r="O279" s="29" t="str">
        <x:v>RULE_DERIVED</x:v>
      </x:c>
    </x:row>
    <x:row r="280">
      <x:c r="A280" s="29" t="str">
        <x:v>C30-20260825-006</x:v>
      </x:c>
      <x:c r="B280" s="32" t="n">
        <x:v>46259.5</x:v>
      </x:c>
      <x:c r="C280" s="29" t="str">
        <x:v>C30</x:v>
      </x:c>
      <x:c r="D280" s="29" t="str">
        <x:v>WET_SEVERE</x:v>
      </x:c>
      <x:c r="E280" s="35" t="n">
        <x:v>44.1</x:v>
      </x:c>
      <x:c r="F280" s="41" t="str">
        <x:v>过稀，泌水，离析，骨料下沉，存在堵泵风险</x:v>
      </x:c>
      <x:c r="G280" s="38" t="n">
        <x:v>53</x:v>
      </x:c>
      <x:c r="H280" s="38" t="n">
        <x:v>233</x:v>
      </x:c>
      <x:c r="I280" s="38" t="n">
        <x:v>648</x:v>
      </x:c>
      <x:c r="J280" s="35" t="n">
        <x:v>1.4</x:v>
      </x:c>
      <x:c r="K280" s="29" t="str">
        <x:v>不合格</x:v>
      </x:c>
      <x:c r="L280" s="41" t="str">
        <x:v>立即暂停出料；加入10–12kg/m³干砂和3–5kg/m³水泥，搅拌60s后复测；仍离析则废弃并排查计量系统。</x:v>
      </x:c>
      <x:c r="M280" s="29" t="str">
        <x:v>是</x:v>
      </x:c>
      <x:c r="N280" s="29" t="str">
        <x:f>IF(COUNTIFS('C30规则'!$A$5:$A$9,D280,'C30规则'!$C$5:$C$9,"&lt;="&amp;E280,'C30规则'!$D$5:$D$9,"&gt;="&amp;E280,'C30规则'!$E$5:$E$9,"&lt;="&amp;G280,'C30规则'!$F$5:$F$9,"&gt;="&amp;G280,'C30规则'!$G$5:$G$9,"&lt;="&amp;H280,'C30规则'!$H$5:$H$9,"&gt;="&amp;H280,'C30规则'!$I$5:$I$9,"&lt;="&amp;I280,'C30规则'!$J$5:$J$9,"&gt;="&amp;I280,'C30规则'!$K$5:$K$9,"&lt;="&amp;J280,'C30规则'!$L$5:$L$9,"&gt;="&amp;J280)=1,"通过","检查")</x:f>
        <x:v>通过</x:v>
      </x:c>
      <x:c r="O280" s="29" t="str">
        <x:v>RULE_DERIVED</x:v>
      </x:c>
    </x:row>
    <x:row r="281">
      <x:c r="A281" s="29" t="str">
        <x:v>C30-20260825-007</x:v>
      </x:c>
      <x:c r="B281" s="32" t="n">
        <x:v>46259.53402777778</x:v>
      </x:c>
      <x:c r="C281" s="29" t="str">
        <x:v>C30</x:v>
      </x:c>
      <x:c r="D281" s="29" t="str">
        <x:v>WET_MILD</x:v>
      </x:c>
      <x:c r="E281" s="35" t="n">
        <x:v>49.3</x:v>
      </x:c>
      <x:c r="F281" s="41" t="str">
        <x:v>偏稀，流动性偏大，无泌水</x:v>
      </x:c>
      <x:c r="G281" s="38" t="n">
        <x:v>27</x:v>
      </x:c>
      <x:c r="H281" s="38" t="n">
        <x:v>207</x:v>
      </x:c>
      <x:c r="I281" s="38" t="n">
        <x:v>591</x:v>
      </x:c>
      <x:c r="J281" s="35" t="n">
        <x:v>1.9</x:v>
      </x:c>
      <x:c r="K281" s="29" t="str">
        <x:v>轻微异常</x:v>
      </x:c>
      <x:c r="L281" s="41" t="str">
        <x:v>加入5–8kg/m³干砂，搅拌30s后复测，达标后正常出料并观察泵送。</x:v>
      </x:c>
      <x:c r="M281" s="29" t="str">
        <x:v>是</x:v>
      </x:c>
      <x:c r="N281" s="29" t="str">
        <x:f>IF(COUNTIFS('C30规则'!$A$5:$A$9,D281,'C30规则'!$C$5:$C$9,"&lt;="&amp;E281,'C30规则'!$D$5:$D$9,"&gt;="&amp;E281,'C30规则'!$E$5:$E$9,"&lt;="&amp;G281,'C30规则'!$F$5:$F$9,"&gt;="&amp;G281,'C30规则'!$G$5:$G$9,"&lt;="&amp;H281,'C30规则'!$H$5:$H$9,"&gt;="&amp;H281,'C30规则'!$I$5:$I$9,"&lt;="&amp;I281,'C30规则'!$J$5:$J$9,"&gt;="&amp;I281,'C30规则'!$K$5:$K$9,"&lt;="&amp;J281,'C30规则'!$L$5:$L$9,"&gt;="&amp;J281)=1,"通过","检查")</x:f>
        <x:v>通过</x:v>
      </x:c>
      <x:c r="O281" s="29" t="str">
        <x:v>RULE_DERIVED</x:v>
      </x:c>
    </x:row>
    <x:row r="282">
      <x:c r="A282" s="29" t="str">
        <x:v>C30-20260825-008</x:v>
      </x:c>
      <x:c r="B282" s="32" t="n">
        <x:v>46259.566666666666</x:v>
      </x:c>
      <x:c r="C282" s="29" t="str">
        <x:v>C30</x:v>
      </x:c>
      <x:c r="D282" s="29" t="str">
        <x:v>NORMAL</x:v>
      </x:c>
      <x:c r="E282" s="35" t="n">
        <x:v>58.9</x:v>
      </x:c>
      <x:c r="F282" s="41" t="str">
        <x:v>稠度适中，包裹性好，不泌水，不结块，泵送顺畅</x:v>
      </x:c>
      <x:c r="G282" s="38" t="n">
        <x:v>-10</x:v>
      </x:c>
      <x:c r="H282" s="38" t="n">
        <x:v>170</x:v>
      </x:c>
      <x:c r="I282" s="38" t="n">
        <x:v>535</x:v>
      </x:c>
      <x:c r="J282" s="35" t="n">
        <x:v>4</x:v>
      </x:c>
      <x:c r="K282" s="29" t="str">
        <x:v>合格</x:v>
      </x:c>
      <x:c r="L282" s="41" t="str">
        <x:v>终止搅拌，直接出料；同步记录台账，留存实测参数备查。</x:v>
      </x:c>
      <x:c r="M282" s="29" t="str">
        <x:v>否</x:v>
      </x:c>
      <x:c r="N282" s="29" t="str">
        <x:f>IF(COUNTIFS('C30规则'!$A$5:$A$9,D282,'C30规则'!$C$5:$C$9,"&lt;="&amp;E282,'C30规则'!$D$5:$D$9,"&gt;="&amp;E282,'C30规则'!$E$5:$E$9,"&lt;="&amp;G282,'C30规则'!$F$5:$F$9,"&gt;="&amp;G282,'C30规则'!$G$5:$G$9,"&lt;="&amp;H282,'C30规则'!$H$5:$H$9,"&gt;="&amp;H282,'C30规则'!$I$5:$I$9,"&lt;="&amp;I282,'C30规则'!$J$5:$J$9,"&gt;="&amp;I282,'C30规则'!$K$5:$K$9,"&lt;="&amp;J282,'C30规则'!$L$5:$L$9,"&gt;="&amp;J282)=1,"通过","检查")</x:f>
        <x:v>通过</x:v>
      </x:c>
      <x:c r="O282" s="29" t="str">
        <x:v>RULE_DERIVED</x:v>
      </x:c>
    </x:row>
    <x:row r="283">
      <x:c r="A283" s="29" t="str">
        <x:v>C30-20260825-009</x:v>
      </x:c>
      <x:c r="B283" s="32" t="n">
        <x:v>46259.60138888889</x:v>
      </x:c>
      <x:c r="C283" s="29" t="str">
        <x:v>C30</x:v>
      </x:c>
      <x:c r="D283" s="29" t="str">
        <x:v>NORMAL</x:v>
      </x:c>
      <x:c r="E283" s="35" t="n">
        <x:v>59.4</x:v>
      </x:c>
      <x:c r="F283" s="41" t="str">
        <x:v>稠度适中，包裹性好，不泌水，不结块，泵送顺畅</x:v>
      </x:c>
      <x:c r="G283" s="38" t="n">
        <x:v>-16</x:v>
      </x:c>
      <x:c r="H283" s="38" t="n">
        <x:v>164</x:v>
      </x:c>
      <x:c r="I283" s="38" t="n">
        <x:v>530</x:v>
      </x:c>
      <x:c r="J283" s="35" t="n">
        <x:v>4.4</x:v>
      </x:c>
      <x:c r="K283" s="29" t="str">
        <x:v>合格</x:v>
      </x:c>
      <x:c r="L283" s="41" t="str">
        <x:v>终止搅拌，直接出料；同步记录台账，留存实测参数备查。</x:v>
      </x:c>
      <x:c r="M283" s="29" t="str">
        <x:v>否</x:v>
      </x:c>
      <x:c r="N283" s="29" t="str">
        <x:f>IF(COUNTIFS('C30规则'!$A$5:$A$9,D283,'C30规则'!$C$5:$C$9,"&lt;="&amp;E283,'C30规则'!$D$5:$D$9,"&gt;="&amp;E283,'C30规则'!$E$5:$E$9,"&lt;="&amp;G283,'C30规则'!$F$5:$F$9,"&gt;="&amp;G283,'C30规则'!$G$5:$G$9,"&lt;="&amp;H283,'C30规则'!$H$5:$H$9,"&gt;="&amp;H283,'C30规则'!$I$5:$I$9,"&lt;="&amp;I283,'C30规则'!$J$5:$J$9,"&gt;="&amp;I283,'C30规则'!$K$5:$K$9,"&lt;="&amp;J283,'C30规则'!$L$5:$L$9,"&gt;="&amp;J283)=1,"通过","检查")</x:f>
        <x:v>通过</x:v>
      </x:c>
      <x:c r="O283" s="29" t="str">
        <x:v>RULE_DERIVED</x:v>
      </x:c>
    </x:row>
    <x:row r="284">
      <x:c r="A284" s="29" t="str">
        <x:v>C30-20260825-010</x:v>
      </x:c>
      <x:c r="B284" s="32" t="n">
        <x:v>46259.63680555556</x:v>
      </x:c>
      <x:c r="C284" s="29" t="str">
        <x:v>C30</x:v>
      </x:c>
      <x:c r="D284" s="29" t="str">
        <x:v>NORMAL</x:v>
      </x:c>
      <x:c r="E284" s="35" t="n">
        <x:v>57</x:v>
      </x:c>
      <x:c r="F284" s="41" t="str">
        <x:v>稠度适中，包裹性好，不泌水，不结块，泵送顺畅</x:v>
      </x:c>
      <x:c r="G284" s="38" t="n">
        <x:v>4</x:v>
      </x:c>
      <x:c r="H284" s="38" t="n">
        <x:v>184</x:v>
      </x:c>
      <x:c r="I284" s="38" t="n">
        <x:v>560</x:v>
      </x:c>
      <x:c r="J284" s="35" t="n">
        <x:v>3.4</x:v>
      </x:c>
      <x:c r="K284" s="29" t="str">
        <x:v>合格</x:v>
      </x:c>
      <x:c r="L284" s="41" t="str">
        <x:v>终止搅拌，直接出料；同步记录台账，留存实测参数备查。</x:v>
      </x:c>
      <x:c r="M284" s="29" t="str">
        <x:v>否</x:v>
      </x:c>
      <x:c r="N284" s="29" t="str">
        <x:f>IF(COUNTIFS('C30规则'!$A$5:$A$9,D284,'C30规则'!$C$5:$C$9,"&lt;="&amp;E284,'C30规则'!$D$5:$D$9,"&gt;="&amp;E284,'C30规则'!$E$5:$E$9,"&lt;="&amp;G284,'C30规则'!$F$5:$F$9,"&gt;="&amp;G284,'C30规则'!$G$5:$G$9,"&lt;="&amp;H284,'C30规则'!$H$5:$H$9,"&gt;="&amp;H284,'C30规则'!$I$5:$I$9,"&lt;="&amp;I284,'C30规则'!$J$5:$J$9,"&gt;="&amp;I284,'C30规则'!$K$5:$K$9,"&lt;="&amp;J284,'C30规则'!$L$5:$L$9,"&gt;="&amp;J284)=1,"通过","检查")</x:f>
        <x:v>通过</x:v>
      </x:c>
      <x:c r="O284" s="29" t="str">
        <x:v>RULE_DERIVED</x:v>
      </x:c>
    </x:row>
    <x:row r="285">
      <x:c r="A285" s="29" t="str">
        <x:v>C30-20260826-001</x:v>
      </x:c>
      <x:c r="B285" s="32" t="n">
        <x:v>46260.33819444444</x:v>
      </x:c>
      <x:c r="C285" s="29" t="str">
        <x:v>C30</x:v>
      </x:c>
      <x:c r="D285" s="29" t="str">
        <x:v>NORMAL</x:v>
      </x:c>
      <x:c r="E285" s="35" t="n">
        <x:v>59.3</x:v>
      </x:c>
      <x:c r="F285" s="41" t="str">
        <x:v>稠度适中，包裹性好，不泌水，不结块，泵送顺畅</x:v>
      </x:c>
      <x:c r="G285" s="38" t="n">
        <x:v>-17</x:v>
      </x:c>
      <x:c r="H285" s="38" t="n">
        <x:v>163</x:v>
      </x:c>
      <x:c r="I285" s="38" t="n">
        <x:v>534</x:v>
      </x:c>
      <x:c r="J285" s="35" t="n">
        <x:v>4.2</x:v>
      </x:c>
      <x:c r="K285" s="29" t="str">
        <x:v>合格</x:v>
      </x:c>
      <x:c r="L285" s="41" t="str">
        <x:v>终止搅拌，直接出料；同步记录台账，留存实测参数备查。</x:v>
      </x:c>
      <x:c r="M285" s="29" t="str">
        <x:v>否</x:v>
      </x:c>
      <x:c r="N285" s="29" t="str">
        <x:f>IF(COUNTIFS('C30规则'!$A$5:$A$9,D285,'C30规则'!$C$5:$C$9,"&lt;="&amp;E285,'C30规则'!$D$5:$D$9,"&gt;="&amp;E285,'C30规则'!$E$5:$E$9,"&lt;="&amp;G285,'C30规则'!$F$5:$F$9,"&gt;="&amp;G285,'C30规则'!$G$5:$G$9,"&lt;="&amp;H285,'C30规则'!$H$5:$H$9,"&gt;="&amp;H285,'C30规则'!$I$5:$I$9,"&lt;="&amp;I285,'C30规则'!$J$5:$J$9,"&gt;="&amp;I285,'C30规则'!$K$5:$K$9,"&lt;="&amp;J285,'C30规则'!$L$5:$L$9,"&gt;="&amp;J285)=1,"通过","检查")</x:f>
        <x:v>通过</x:v>
      </x:c>
      <x:c r="O285" s="29" t="str">
        <x:v>RULE_DERIVED</x:v>
      </x:c>
    </x:row>
    <x:row r="286">
      <x:c r="A286" s="29" t="str">
        <x:v>C30-20260826-002</x:v>
      </x:c>
      <x:c r="B286" s="32" t="n">
        <x:v>46260.36736111111</x:v>
      </x:c>
      <x:c r="C286" s="29" t="str">
        <x:v>C30</x:v>
      </x:c>
      <x:c r="D286" s="29" t="str">
        <x:v>NORMAL</x:v>
      </x:c>
      <x:c r="E286" s="35" t="n">
        <x:v>56</x:v>
      </x:c>
      <x:c r="F286" s="41" t="str">
        <x:v>稠度适中，包裹性好，不泌水，不结块，泵送顺畅</x:v>
      </x:c>
      <x:c r="G286" s="38" t="n">
        <x:v>12</x:v>
      </x:c>
      <x:c r="H286" s="38" t="n">
        <x:v>192</x:v>
      </x:c>
      <x:c r="I286" s="38" t="n">
        <x:v>558</x:v>
      </x:c>
      <x:c r="J286" s="35" t="n">
        <x:v>3</x:v>
      </x:c>
      <x:c r="K286" s="29" t="str">
        <x:v>合格</x:v>
      </x:c>
      <x:c r="L286" s="41" t="str">
        <x:v>终止搅拌，直接出料；同步记录台账，留存实测参数备查。</x:v>
      </x:c>
      <x:c r="M286" s="29" t="str">
        <x:v>否</x:v>
      </x:c>
      <x:c r="N286" s="29" t="str">
        <x:f>IF(COUNTIFS('C30规则'!$A$5:$A$9,D286,'C30规则'!$C$5:$C$9,"&lt;="&amp;E286,'C30规则'!$D$5:$D$9,"&gt;="&amp;E286,'C30规则'!$E$5:$E$9,"&lt;="&amp;G286,'C30规则'!$F$5:$F$9,"&gt;="&amp;G286,'C30规则'!$G$5:$G$9,"&lt;="&amp;H286,'C30规则'!$H$5:$H$9,"&gt;="&amp;H286,'C30规则'!$I$5:$I$9,"&lt;="&amp;I286,'C30规则'!$J$5:$J$9,"&gt;="&amp;I286,'C30规则'!$K$5:$K$9,"&lt;="&amp;J286,'C30规则'!$L$5:$L$9,"&gt;="&amp;J286)=1,"通过","检查")</x:f>
        <x:v>通过</x:v>
      </x:c>
      <x:c r="O286" s="29" t="str">
        <x:v>RULE_DERIVED</x:v>
      </x:c>
    </x:row>
    <x:row r="287">
      <x:c r="A287" s="29" t="str">
        <x:v>C30-20260826-003</x:v>
      </x:c>
      <x:c r="B287" s="32" t="n">
        <x:v>46260.40069444444</x:v>
      </x:c>
      <x:c r="C287" s="29" t="str">
        <x:v>C30</x:v>
      </x:c>
      <x:c r="D287" s="29" t="str">
        <x:v>NORMAL</x:v>
      </x:c>
      <x:c r="E287" s="35" t="n">
        <x:v>57.9</x:v>
      </x:c>
      <x:c r="F287" s="41" t="str">
        <x:v>稠度适中，包裹性好，不泌水，不结块，泵送顺畅</x:v>
      </x:c>
      <x:c r="G287" s="38" t="n">
        <x:v>-3</x:v>
      </x:c>
      <x:c r="H287" s="38" t="n">
        <x:v>177</x:v>
      </x:c>
      <x:c r="I287" s="38" t="n">
        <x:v>547</x:v>
      </x:c>
      <x:c r="J287" s="35" t="n">
        <x:v>3.6</x:v>
      </x:c>
      <x:c r="K287" s="29" t="str">
        <x:v>合格</x:v>
      </x:c>
      <x:c r="L287" s="41" t="str">
        <x:v>终止搅拌，直接出料；同步记录台账，留存实测参数备查。</x:v>
      </x:c>
      <x:c r="M287" s="29" t="str">
        <x:v>否</x:v>
      </x:c>
      <x:c r="N287" s="29" t="str">
        <x:f>IF(COUNTIFS('C30规则'!$A$5:$A$9,D287,'C30规则'!$C$5:$C$9,"&lt;="&amp;E287,'C30规则'!$D$5:$D$9,"&gt;="&amp;E287,'C30规则'!$E$5:$E$9,"&lt;="&amp;G287,'C30规则'!$F$5:$F$9,"&gt;="&amp;G287,'C30规则'!$G$5:$G$9,"&lt;="&amp;H287,'C30规则'!$H$5:$H$9,"&gt;="&amp;H287,'C30规则'!$I$5:$I$9,"&lt;="&amp;I287,'C30规则'!$J$5:$J$9,"&gt;="&amp;I287,'C30规则'!$K$5:$K$9,"&lt;="&amp;J287,'C30规则'!$L$5:$L$9,"&gt;="&amp;J287)=1,"通过","检查")</x:f>
        <x:v>通过</x:v>
      </x:c>
      <x:c r="O287" s="29" t="str">
        <x:v>RULE_DERIVED</x:v>
      </x:c>
    </x:row>
    <x:row r="288">
      <x:c r="A288" s="29" t="str">
        <x:v>C30-20260826-004</x:v>
      </x:c>
      <x:c r="B288" s="32" t="n">
        <x:v>46260.4375</x:v>
      </x:c>
      <x:c r="C288" s="29" t="str">
        <x:v>C30</x:v>
      </x:c>
      <x:c r="D288" s="29" t="str">
        <x:v>NORMAL</x:v>
      </x:c>
      <x:c r="E288" s="35" t="n">
        <x:v>57.7</x:v>
      </x:c>
      <x:c r="F288" s="41" t="str">
        <x:v>稠度适中，包裹性好，不泌水，不结块，泵送顺畅</x:v>
      </x:c>
      <x:c r="G288" s="38" t="n">
        <x:v>-4</x:v>
      </x:c>
      <x:c r="H288" s="38" t="n">
        <x:v>176</x:v>
      </x:c>
      <x:c r="I288" s="38" t="n">
        <x:v>551</x:v>
      </x:c>
      <x:c r="J288" s="35" t="n">
        <x:v>3.5</x:v>
      </x:c>
      <x:c r="K288" s="29" t="str">
        <x:v>合格</x:v>
      </x:c>
      <x:c r="L288" s="41" t="str">
        <x:v>终止搅拌，直接出料；同步记录台账，留存实测参数备查。</x:v>
      </x:c>
      <x:c r="M288" s="29" t="str">
        <x:v>否</x:v>
      </x:c>
      <x:c r="N288" s="29" t="str">
        <x:f>IF(COUNTIFS('C30规则'!$A$5:$A$9,D288,'C30规则'!$C$5:$C$9,"&lt;="&amp;E288,'C30规则'!$D$5:$D$9,"&gt;="&amp;E288,'C30规则'!$E$5:$E$9,"&lt;="&amp;G288,'C30规则'!$F$5:$F$9,"&gt;="&amp;G288,'C30规则'!$G$5:$G$9,"&lt;="&amp;H288,'C30规则'!$H$5:$H$9,"&gt;="&amp;H288,'C30规则'!$I$5:$I$9,"&lt;="&amp;I288,'C30规则'!$J$5:$J$9,"&gt;="&amp;I288,'C30规则'!$K$5:$K$9,"&lt;="&amp;J288,'C30规则'!$L$5:$L$9,"&gt;="&amp;J288)=1,"通过","检查")</x:f>
        <x:v>通过</x:v>
      </x:c>
      <x:c r="O288" s="29" t="str">
        <x:v>RULE_DERIVED</x:v>
      </x:c>
    </x:row>
    <x:row r="289">
      <x:c r="A289" s="29" t="str">
        <x:v>C30-20260826-005</x:v>
      </x:c>
      <x:c r="B289" s="32" t="n">
        <x:v>46260.470138888886</x:v>
      </x:c>
      <x:c r="C289" s="29" t="str">
        <x:v>C30</x:v>
      </x:c>
      <x:c r="D289" s="29" t="str">
        <x:v>NORMAL</x:v>
      </x:c>
      <x:c r="E289" s="35" t="n">
        <x:v>56</x:v>
      </x:c>
      <x:c r="F289" s="41" t="str">
        <x:v>稠度适中，包裹性好，不泌水，不结块，泵送顺畅</x:v>
      </x:c>
      <x:c r="G289" s="38" t="n">
        <x:v>14</x:v>
      </x:c>
      <x:c r="H289" s="38" t="n">
        <x:v>194</x:v>
      </x:c>
      <x:c r="I289" s="38" t="n">
        <x:v>559</x:v>
      </x:c>
      <x:c r="J289" s="35" t="n">
        <x:v>2.9</x:v>
      </x:c>
      <x:c r="K289" s="29" t="str">
        <x:v>合格</x:v>
      </x:c>
      <x:c r="L289" s="41" t="str">
        <x:v>终止搅拌，直接出料；同步记录台账，留存实测参数备查。</x:v>
      </x:c>
      <x:c r="M289" s="29" t="str">
        <x:v>否</x:v>
      </x:c>
      <x:c r="N289" s="29" t="str">
        <x:f>IF(COUNTIFS('C30规则'!$A$5:$A$9,D289,'C30规则'!$C$5:$C$9,"&lt;="&amp;E289,'C30规则'!$D$5:$D$9,"&gt;="&amp;E289,'C30规则'!$E$5:$E$9,"&lt;="&amp;G289,'C30规则'!$F$5:$F$9,"&gt;="&amp;G289,'C30规则'!$G$5:$G$9,"&lt;="&amp;H289,'C30规则'!$H$5:$H$9,"&gt;="&amp;H289,'C30规则'!$I$5:$I$9,"&lt;="&amp;I289,'C30规则'!$J$5:$J$9,"&gt;="&amp;I289,'C30规则'!$K$5:$K$9,"&lt;="&amp;J289,'C30规则'!$L$5:$L$9,"&gt;="&amp;J289)=1,"通过","检查")</x:f>
        <x:v>通过</x:v>
      </x:c>
      <x:c r="O289" s="29" t="str">
        <x:v>RULE_DERIVED</x:v>
      </x:c>
    </x:row>
    <x:row r="290">
      <x:c r="A290" s="29" t="str">
        <x:v>C30-20260826-006</x:v>
      </x:c>
      <x:c r="B290" s="32" t="n">
        <x:v>46260.50347222222</x:v>
      </x:c>
      <x:c r="C290" s="29" t="str">
        <x:v>C30</x:v>
      </x:c>
      <x:c r="D290" s="29" t="str">
        <x:v>NORMAL</x:v>
      </x:c>
      <x:c r="E290" s="35" t="n">
        <x:v>56.5</x:v>
      </x:c>
      <x:c r="F290" s="41" t="str">
        <x:v>稠度适中，包裹性好，不泌水，不结块，泵送顺畅</x:v>
      </x:c>
      <x:c r="G290" s="38" t="n">
        <x:v>7</x:v>
      </x:c>
      <x:c r="H290" s="38" t="n">
        <x:v>187</x:v>
      </x:c>
      <x:c r="I290" s="38" t="n">
        <x:v>563</x:v>
      </x:c>
      <x:c r="J290" s="35" t="n">
        <x:v>3.1</x:v>
      </x:c>
      <x:c r="K290" s="29" t="str">
        <x:v>合格</x:v>
      </x:c>
      <x:c r="L290" s="41" t="str">
        <x:v>终止搅拌，直接出料；同步记录台账，留存实测参数备查。</x:v>
      </x:c>
      <x:c r="M290" s="29" t="str">
        <x:v>否</x:v>
      </x:c>
      <x:c r="N290" s="29" t="str">
        <x:f>IF(COUNTIFS('C30规则'!$A$5:$A$9,D290,'C30规则'!$C$5:$C$9,"&lt;="&amp;E290,'C30规则'!$D$5:$D$9,"&gt;="&amp;E290,'C30规则'!$E$5:$E$9,"&lt;="&amp;G290,'C30规则'!$F$5:$F$9,"&gt;="&amp;G290,'C30规则'!$G$5:$G$9,"&lt;="&amp;H290,'C30规则'!$H$5:$H$9,"&gt;="&amp;H290,'C30规则'!$I$5:$I$9,"&lt;="&amp;I290,'C30规则'!$J$5:$J$9,"&gt;="&amp;I290,'C30规则'!$K$5:$K$9,"&lt;="&amp;J290,'C30规则'!$L$5:$L$9,"&gt;="&amp;J290)=1,"通过","检查")</x:f>
        <x:v>通过</x:v>
      </x:c>
      <x:c r="O290" s="29" t="str">
        <x:v>RULE_DERIVED</x:v>
      </x:c>
    </x:row>
    <x:row r="291">
      <x:c r="A291" s="29" t="str">
        <x:v>C30-20260826-007</x:v>
      </x:c>
      <x:c r="B291" s="32" t="n">
        <x:v>46260.5375</x:v>
      </x:c>
      <x:c r="C291" s="29" t="str">
        <x:v>C30</x:v>
      </x:c>
      <x:c r="D291" s="29" t="str">
        <x:v>NORMAL</x:v>
      </x:c>
      <x:c r="E291" s="35" t="n">
        <x:v>55.8</x:v>
      </x:c>
      <x:c r="F291" s="41" t="str">
        <x:v>稠度适中，包裹性好，不泌水，不结块，泵送顺畅</x:v>
      </x:c>
      <x:c r="G291" s="38" t="n">
        <x:v>15</x:v>
      </x:c>
      <x:c r="H291" s="38" t="n">
        <x:v>195</x:v>
      </x:c>
      <x:c r="I291" s="38" t="n">
        <x:v>569</x:v>
      </x:c>
      <x:c r="J291" s="35" t="n">
        <x:v>2.9</x:v>
      </x:c>
      <x:c r="K291" s="29" t="str">
        <x:v>合格</x:v>
      </x:c>
      <x:c r="L291" s="41" t="str">
        <x:v>终止搅拌，直接出料；同步记录台账，留存实测参数备查。</x:v>
      </x:c>
      <x:c r="M291" s="29" t="str">
        <x:v>否</x:v>
      </x:c>
      <x:c r="N291" s="29" t="str">
        <x:f>IF(COUNTIFS('C30规则'!$A$5:$A$9,D291,'C30规则'!$C$5:$C$9,"&lt;="&amp;E291,'C30规则'!$D$5:$D$9,"&gt;="&amp;E291,'C30规则'!$E$5:$E$9,"&lt;="&amp;G291,'C30规则'!$F$5:$F$9,"&gt;="&amp;G291,'C30规则'!$G$5:$G$9,"&lt;="&amp;H291,'C30规则'!$H$5:$H$9,"&gt;="&amp;H291,'C30规则'!$I$5:$I$9,"&lt;="&amp;I291,'C30规则'!$J$5:$J$9,"&gt;="&amp;I291,'C30规则'!$K$5:$K$9,"&lt;="&amp;J291,'C30规则'!$L$5:$L$9,"&gt;="&amp;J291)=1,"通过","检查")</x:f>
        <x:v>通过</x:v>
      </x:c>
      <x:c r="O291" s="29" t="str">
        <x:v>RULE_DERIVED</x:v>
      </x:c>
    </x:row>
    <x:row r="292">
      <x:c r="A292" s="29" t="str">
        <x:v>C30-20260826-008</x:v>
      </x:c>
      <x:c r="B292" s="32" t="n">
        <x:v>46260.569444444445</x:v>
      </x:c>
      <x:c r="C292" s="29" t="str">
        <x:v>C30</x:v>
      </x:c>
      <x:c r="D292" s="29" t="str">
        <x:v>NORMAL</x:v>
      </x:c>
      <x:c r="E292" s="35" t="n">
        <x:v>56.2</x:v>
      </x:c>
      <x:c r="F292" s="41" t="str">
        <x:v>稠度适中，包裹性好，不泌水，不结块，泵送顺畅</x:v>
      </x:c>
      <x:c r="G292" s="38" t="n">
        <x:v>12</x:v>
      </x:c>
      <x:c r="H292" s="38" t="n">
        <x:v>192</x:v>
      </x:c>
      <x:c r="I292" s="38" t="n">
        <x:v>561</x:v>
      </x:c>
      <x:c r="J292" s="35" t="n">
        <x:v>3</x:v>
      </x:c>
      <x:c r="K292" s="29" t="str">
        <x:v>合格</x:v>
      </x:c>
      <x:c r="L292" s="41" t="str">
        <x:v>终止搅拌，直接出料；同步记录台账，留存实测参数备查。</x:v>
      </x:c>
      <x:c r="M292" s="29" t="str">
        <x:v>否</x:v>
      </x:c>
      <x:c r="N292" s="29" t="str">
        <x:f>IF(COUNTIFS('C30规则'!$A$5:$A$9,D292,'C30规则'!$C$5:$C$9,"&lt;="&amp;E292,'C30规则'!$D$5:$D$9,"&gt;="&amp;E292,'C30规则'!$E$5:$E$9,"&lt;="&amp;G292,'C30规则'!$F$5:$F$9,"&gt;="&amp;G292,'C30规则'!$G$5:$G$9,"&lt;="&amp;H292,'C30规则'!$H$5:$H$9,"&gt;="&amp;H292,'C30规则'!$I$5:$I$9,"&lt;="&amp;I292,'C30规则'!$J$5:$J$9,"&gt;="&amp;I292,'C30规则'!$K$5:$K$9,"&lt;="&amp;J292,'C30规则'!$L$5:$L$9,"&gt;="&amp;J292)=1,"通过","检查")</x:f>
        <x:v>通过</x:v>
      </x:c>
      <x:c r="O292" s="29" t="str">
        <x:v>RULE_DERIVED</x:v>
      </x:c>
    </x:row>
    <x:row r="293">
      <x:c r="A293" s="29" t="str">
        <x:v>C30-20260826-009</x:v>
      </x:c>
      <x:c r="B293" s="32" t="n">
        <x:v>46260.60208333333</x:v>
      </x:c>
      <x:c r="C293" s="29" t="str">
        <x:v>C30</x:v>
      </x:c>
      <x:c r="D293" s="29" t="str">
        <x:v>NORMAL</x:v>
      </x:c>
      <x:c r="E293" s="35" t="n">
        <x:v>55.5</x:v>
      </x:c>
      <x:c r="F293" s="41" t="str">
        <x:v>稠度适中，包裹性好，不泌水，不结块，泵送顺畅</x:v>
      </x:c>
      <x:c r="G293" s="38" t="n">
        <x:v>14</x:v>
      </x:c>
      <x:c r="H293" s="38" t="n">
        <x:v>194</x:v>
      </x:c>
      <x:c r="I293" s="38" t="n">
        <x:v>565</x:v>
      </x:c>
      <x:c r="J293" s="35" t="n">
        <x:v>2.7</x:v>
      </x:c>
      <x:c r="K293" s="29" t="str">
        <x:v>合格</x:v>
      </x:c>
      <x:c r="L293" s="41" t="str">
        <x:v>终止搅拌，直接出料；同步记录台账，留存实测参数备查。</x:v>
      </x:c>
      <x:c r="M293" s="29" t="str">
        <x:v>否</x:v>
      </x:c>
      <x:c r="N293" s="29" t="str">
        <x:f>IF(COUNTIFS('C30规则'!$A$5:$A$9,D293,'C30规则'!$C$5:$C$9,"&lt;="&amp;E293,'C30规则'!$D$5:$D$9,"&gt;="&amp;E293,'C30规则'!$E$5:$E$9,"&lt;="&amp;G293,'C30规则'!$F$5:$F$9,"&gt;="&amp;G293,'C30规则'!$G$5:$G$9,"&lt;="&amp;H293,'C30规则'!$H$5:$H$9,"&gt;="&amp;H293,'C30规则'!$I$5:$I$9,"&lt;="&amp;I293,'C30规则'!$J$5:$J$9,"&gt;="&amp;I293,'C30规则'!$K$5:$K$9,"&lt;="&amp;J293,'C30规则'!$L$5:$L$9,"&gt;="&amp;J293)=1,"通过","检查")</x:f>
        <x:v>通过</x:v>
      </x:c>
      <x:c r="O293" s="29" t="str">
        <x:v>RULE_DERIVED</x:v>
      </x:c>
    </x:row>
    <x:row r="294">
      <x:c r="A294" s="29" t="str">
        <x:v>C30-20260826-010</x:v>
      </x:c>
      <x:c r="B294" s="32" t="n">
        <x:v>46260.638194444444</x:v>
      </x:c>
      <x:c r="C294" s="29" t="str">
        <x:v>C30</x:v>
      </x:c>
      <x:c r="D294" s="29" t="str">
        <x:v>NORMAL</x:v>
      </x:c>
      <x:c r="E294" s="35" t="n">
        <x:v>59</x:v>
      </x:c>
      <x:c r="F294" s="41" t="str">
        <x:v>稠度适中，包裹性好，不泌水，不结块，泵送顺畅</x:v>
      </x:c>
      <x:c r="G294" s="38" t="n">
        <x:v>-13</x:v>
      </x:c>
      <x:c r="H294" s="38" t="n">
        <x:v>167</x:v>
      </x:c>
      <x:c r="I294" s="38" t="n">
        <x:v>535</x:v>
      </x:c>
      <x:c r="J294" s="35" t="n">
        <x:v>4.2</x:v>
      </x:c>
      <x:c r="K294" s="29" t="str">
        <x:v>合格</x:v>
      </x:c>
      <x:c r="L294" s="41" t="str">
        <x:v>终止搅拌，直接出料；同步记录台账，留存实测参数备查。</x:v>
      </x:c>
      <x:c r="M294" s="29" t="str">
        <x:v>否</x:v>
      </x:c>
      <x:c r="N294" s="29" t="str">
        <x:f>IF(COUNTIFS('C30规则'!$A$5:$A$9,D294,'C30规则'!$C$5:$C$9,"&lt;="&amp;E294,'C30规则'!$D$5:$D$9,"&gt;="&amp;E294,'C30规则'!$E$5:$E$9,"&lt;="&amp;G294,'C30规则'!$F$5:$F$9,"&gt;="&amp;G294,'C30规则'!$G$5:$G$9,"&lt;="&amp;H294,'C30规则'!$H$5:$H$9,"&gt;="&amp;H294,'C30规则'!$I$5:$I$9,"&lt;="&amp;I294,'C30规则'!$J$5:$J$9,"&gt;="&amp;I294,'C30规则'!$K$5:$K$9,"&lt;="&amp;J294,'C30规则'!$L$5:$L$9,"&gt;="&amp;J294)=1,"通过","检查")</x:f>
        <x:v>通过</x:v>
      </x:c>
      <x:c r="O294" s="29" t="str">
        <x:v>RULE_DERIVED</x:v>
      </x:c>
    </x:row>
    <x:row r="295">
      <x:c r="A295" s="29" t="str">
        <x:v>C30-20260827-001</x:v>
      </x:c>
      <x:c r="B295" s="32" t="n">
        <x:v>46261.333333333336</x:v>
      </x:c>
      <x:c r="C295" s="29" t="str">
        <x:v>C30</x:v>
      </x:c>
      <x:c r="D295" s="29" t="str">
        <x:v>NORMAL</x:v>
      </x:c>
      <x:c r="E295" s="35" t="n">
        <x:v>55.9</x:v>
      </x:c>
      <x:c r="F295" s="41" t="str">
        <x:v>稠度适中，包裹性好，不泌水，不结块，泵送顺畅</x:v>
      </x:c>
      <x:c r="G295" s="38" t="n">
        <x:v>13</x:v>
      </x:c>
      <x:c r="H295" s="38" t="n">
        <x:v>193</x:v>
      </x:c>
      <x:c r="I295" s="38" t="n">
        <x:v>566</x:v>
      </x:c>
      <x:c r="J295" s="35" t="n">
        <x:v>3</x:v>
      </x:c>
      <x:c r="K295" s="29" t="str">
        <x:v>合格</x:v>
      </x:c>
      <x:c r="L295" s="41" t="str">
        <x:v>终止搅拌，直接出料；同步记录台账，留存实测参数备查。</x:v>
      </x:c>
      <x:c r="M295" s="29" t="str">
        <x:v>否</x:v>
      </x:c>
      <x:c r="N295" s="29" t="str">
        <x:f>IF(COUNTIFS('C30规则'!$A$5:$A$9,D295,'C30规则'!$C$5:$C$9,"&lt;="&amp;E295,'C30规则'!$D$5:$D$9,"&gt;="&amp;E295,'C30规则'!$E$5:$E$9,"&lt;="&amp;G295,'C30规则'!$F$5:$F$9,"&gt;="&amp;G295,'C30规则'!$G$5:$G$9,"&lt;="&amp;H295,'C30规则'!$H$5:$H$9,"&gt;="&amp;H295,'C30规则'!$I$5:$I$9,"&lt;="&amp;I295,'C30规则'!$J$5:$J$9,"&gt;="&amp;I295,'C30规则'!$K$5:$K$9,"&lt;="&amp;J295,'C30规则'!$L$5:$L$9,"&gt;="&amp;J295)=1,"通过","检查")</x:f>
        <x:v>通过</x:v>
      </x:c>
      <x:c r="O295" s="29" t="str">
        <x:v>RULE_DERIVED</x:v>
      </x:c>
    </x:row>
    <x:row r="296">
      <x:c r="A296" s="29" t="str">
        <x:v>C30-20260827-002</x:v>
      </x:c>
      <x:c r="B296" s="32" t="n">
        <x:v>46261.36875</x:v>
      </x:c>
      <x:c r="C296" s="29" t="str">
        <x:v>C30</x:v>
      </x:c>
      <x:c r="D296" s="29" t="str">
        <x:v>WET_MILD</x:v>
      </x:c>
      <x:c r="E296" s="35" t="n">
        <x:v>51.6</x:v>
      </x:c>
      <x:c r="F296" s="41" t="str">
        <x:v>偏稀，流动性偏大，无泌水</x:v>
      </x:c>
      <x:c r="G296" s="38" t="n">
        <x:v>21</x:v>
      </x:c>
      <x:c r="H296" s="38" t="n">
        <x:v>201</x:v>
      </x:c>
      <x:c r="I296" s="38" t="n">
        <x:v>597</x:v>
      </x:c>
      <x:c r="J296" s="35" t="n">
        <x:v>2.2</x:v>
      </x:c>
      <x:c r="K296" s="29" t="str">
        <x:v>轻微异常</x:v>
      </x:c>
      <x:c r="L296" s="41" t="str">
        <x:v>加入5–8kg/m³干砂，搅拌30s后复测，达标后正常出料并观察泵送。</x:v>
      </x:c>
      <x:c r="M296" s="29" t="str">
        <x:v>是</x:v>
      </x:c>
      <x:c r="N296" s="29" t="str">
        <x:f>IF(COUNTIFS('C30规则'!$A$5:$A$9,D296,'C30规则'!$C$5:$C$9,"&lt;="&amp;E296,'C30规则'!$D$5:$D$9,"&gt;="&amp;E296,'C30规则'!$E$5:$E$9,"&lt;="&amp;G296,'C30规则'!$F$5:$F$9,"&gt;="&amp;G296,'C30规则'!$G$5:$G$9,"&lt;="&amp;H296,'C30规则'!$H$5:$H$9,"&gt;="&amp;H296,'C30规则'!$I$5:$I$9,"&lt;="&amp;I296,'C30规则'!$J$5:$J$9,"&gt;="&amp;I296,'C30规则'!$K$5:$K$9,"&lt;="&amp;J296,'C30规则'!$L$5:$L$9,"&gt;="&amp;J296)=1,"通过","检查")</x:f>
        <x:v>通过</x:v>
      </x:c>
      <x:c r="O296" s="29" t="str">
        <x:v>RULE_DERIVED</x:v>
      </x:c>
    </x:row>
    <x:row r="297">
      <x:c r="A297" s="29" t="str">
        <x:v>C30-20260827-003</x:v>
      </x:c>
      <x:c r="B297" s="32" t="n">
        <x:v>46261.4</x:v>
      </x:c>
      <x:c r="C297" s="29" t="str">
        <x:v>C30</x:v>
      </x:c>
      <x:c r="D297" s="29" t="str">
        <x:v>NORMAL</x:v>
      </x:c>
      <x:c r="E297" s="35" t="n">
        <x:v>57.3</x:v>
      </x:c>
      <x:c r="F297" s="41" t="str">
        <x:v>稠度适中，包裹性好，不泌水，不结块，泵送顺畅</x:v>
      </x:c>
      <x:c r="G297" s="38" t="n">
        <x:v>0</x:v>
      </x:c>
      <x:c r="H297" s="38" t="n">
        <x:v>180</x:v>
      </x:c>
      <x:c r="I297" s="38" t="n">
        <x:v>549</x:v>
      </x:c>
      <x:c r="J297" s="35" t="n">
        <x:v>3.4</x:v>
      </x:c>
      <x:c r="K297" s="29" t="str">
        <x:v>合格</x:v>
      </x:c>
      <x:c r="L297" s="41" t="str">
        <x:v>终止搅拌，直接出料；同步记录台账，留存实测参数备查。</x:v>
      </x:c>
      <x:c r="M297" s="29" t="str">
        <x:v>否</x:v>
      </x:c>
      <x:c r="N297" s="29" t="str">
        <x:f>IF(COUNTIFS('C30规则'!$A$5:$A$9,D297,'C30规则'!$C$5:$C$9,"&lt;="&amp;E297,'C30规则'!$D$5:$D$9,"&gt;="&amp;E297,'C30规则'!$E$5:$E$9,"&lt;="&amp;G297,'C30规则'!$F$5:$F$9,"&gt;="&amp;G297,'C30规则'!$G$5:$G$9,"&lt;="&amp;H297,'C30规则'!$H$5:$H$9,"&gt;="&amp;H297,'C30规则'!$I$5:$I$9,"&lt;="&amp;I297,'C30规则'!$J$5:$J$9,"&gt;="&amp;I297,'C30规则'!$K$5:$K$9,"&lt;="&amp;J297,'C30规则'!$L$5:$L$9,"&gt;="&amp;J297)=1,"通过","检查")</x:f>
        <x:v>通过</x:v>
      </x:c>
      <x:c r="O297" s="29" t="str">
        <x:v>RULE_DERIVED</x:v>
      </x:c>
    </x:row>
    <x:row r="298">
      <x:c r="A298" s="29" t="str">
        <x:v>C30-20260827-004</x:v>
      </x:c>
      <x:c r="B298" s="32" t="n">
        <x:v>46261.43819444445</x:v>
      </x:c>
      <x:c r="C298" s="29" t="str">
        <x:v>C30</x:v>
      </x:c>
      <x:c r="D298" s="29" t="str">
        <x:v>DRY_SEVERE</x:v>
      </x:c>
      <x:c r="E298" s="35" t="n">
        <x:v>70.2</x:v>
      </x:c>
      <x:c r="F298" s="41" t="str">
        <x:v>干涩，结块，挂壁，流动性极差，无法泵送</x:v>
      </x:c>
      <x:c r="G298" s="38" t="n">
        <x:v>-44</x:v>
      </x:c>
      <x:c r="H298" s="38" t="n">
        <x:v>136</x:v>
      </x:c>
      <x:c r="I298" s="38" t="n">
        <x:v>490</x:v>
      </x:c>
      <x:c r="J298" s="35" t="n">
        <x:v>5.6</x:v>
      </x:c>
      <x:c r="K298" s="29" t="str">
        <x:v>不合格</x:v>
      </x:c>
      <x:c r="L298" s="41" t="str">
        <x:v>优先补加0.2%减水剂和5kg清水，搅拌60s后复测。</x:v>
      </x:c>
      <x:c r="M298" s="29" t="str">
        <x:v>是</x:v>
      </x:c>
      <x:c r="N298" s="29" t="str">
        <x:f>IF(COUNTIFS('C30规则'!$A$5:$A$9,D298,'C30规则'!$C$5:$C$9,"&lt;="&amp;E298,'C30规则'!$D$5:$D$9,"&gt;="&amp;E298,'C30规则'!$E$5:$E$9,"&lt;="&amp;G298,'C30规则'!$F$5:$F$9,"&gt;="&amp;G298,'C30规则'!$G$5:$G$9,"&lt;="&amp;H298,'C30规则'!$H$5:$H$9,"&gt;="&amp;H298,'C30规则'!$I$5:$I$9,"&lt;="&amp;I298,'C30规则'!$J$5:$J$9,"&gt;="&amp;I298,'C30规则'!$K$5:$K$9,"&lt;="&amp;J298,'C30规则'!$L$5:$L$9,"&gt;="&amp;J298)=1,"通过","检查")</x:f>
        <x:v>通过</x:v>
      </x:c>
      <x:c r="O298" s="29" t="str">
        <x:v>RULE_DERIVED</x:v>
      </x:c>
    </x:row>
    <x:row r="299">
      <x:c r="A299" s="29" t="str">
        <x:v>C30-20260827-005</x:v>
      </x:c>
      <x:c r="B299" s="32" t="n">
        <x:v>46261.46805555555</x:v>
      </x:c>
      <x:c r="C299" s="29" t="str">
        <x:v>C30</x:v>
      </x:c>
      <x:c r="D299" s="29" t="str">
        <x:v>DRY_SEVERE</x:v>
      </x:c>
      <x:c r="E299" s="35" t="n">
        <x:v>74.4</x:v>
      </x:c>
      <x:c r="F299" s="41" t="str">
        <x:v>干涩，结块，挂壁，流动性极差，无法泵送</x:v>
      </x:c>
      <x:c r="G299" s="38" t="n">
        <x:v>-50</x:v>
      </x:c>
      <x:c r="H299" s="38" t="n">
        <x:v>130</x:v>
      </x:c>
      <x:c r="I299" s="38" t="n">
        <x:v>477</x:v>
      </x:c>
      <x:c r="J299" s="35" t="n">
        <x:v>6.3</x:v>
      </x:c>
      <x:c r="K299" s="29" t="str">
        <x:v>不合格</x:v>
      </x:c>
      <x:c r="L299" s="41" t="str">
        <x:v>优先补加0.2%减水剂和5kg清水，搅拌60s后复测。</x:v>
      </x:c>
      <x:c r="M299" s="29" t="str">
        <x:v>是</x:v>
      </x:c>
      <x:c r="N299" s="29" t="str">
        <x:f>IF(COUNTIFS('C30规则'!$A$5:$A$9,D299,'C30规则'!$C$5:$C$9,"&lt;="&amp;E299,'C30规则'!$D$5:$D$9,"&gt;="&amp;E299,'C30规则'!$E$5:$E$9,"&lt;="&amp;G299,'C30规则'!$F$5:$F$9,"&gt;="&amp;G299,'C30规则'!$G$5:$G$9,"&lt;="&amp;H299,'C30规则'!$H$5:$H$9,"&gt;="&amp;H299,'C30规则'!$I$5:$I$9,"&lt;="&amp;I299,'C30规则'!$J$5:$J$9,"&gt;="&amp;I299,'C30规则'!$K$5:$K$9,"&lt;="&amp;J299,'C30规则'!$L$5:$L$9,"&gt;="&amp;J299)=1,"通过","检查")</x:f>
        <x:v>通过</x:v>
      </x:c>
      <x:c r="O299" s="29" t="str">
        <x:v>RULE_DERIVED</x:v>
      </x:c>
    </x:row>
    <x:row r="300">
      <x:c r="A300" s="29" t="str">
        <x:v>C30-20260827-006</x:v>
      </x:c>
      <x:c r="B300" s="32" t="n">
        <x:v>46261.504166666666</x:v>
      </x:c>
      <x:c r="C300" s="29" t="str">
        <x:v>C30</x:v>
      </x:c>
      <x:c r="D300" s="29" t="str">
        <x:v>WET_MILD</x:v>
      </x:c>
      <x:c r="E300" s="35" t="n">
        <x:v>45.9</x:v>
      </x:c>
      <x:c r="F300" s="41" t="str">
        <x:v>偏稀，流动性偏大，无泌水</x:v>
      </x:c>
      <x:c r="G300" s="38" t="n">
        <x:v>30</x:v>
      </x:c>
      <x:c r="H300" s="38" t="n">
        <x:v>210</x:v>
      </x:c>
      <x:c r="I300" s="38" t="n">
        <x:v>607</x:v>
      </x:c>
      <x:c r="J300" s="35" t="n">
        <x:v>1.9</x:v>
      </x:c>
      <x:c r="K300" s="29" t="str">
        <x:v>轻微异常</x:v>
      </x:c>
      <x:c r="L300" s="41" t="str">
        <x:v>加入5–8kg/m³干砂，搅拌30s后复测，达标后正常出料并观察泵送。</x:v>
      </x:c>
      <x:c r="M300" s="29" t="str">
        <x:v>是</x:v>
      </x:c>
      <x:c r="N300" s="29" t="str">
        <x:f>IF(COUNTIFS('C30规则'!$A$5:$A$9,D300,'C30规则'!$C$5:$C$9,"&lt;="&amp;E300,'C30规则'!$D$5:$D$9,"&gt;="&amp;E300,'C30规则'!$E$5:$E$9,"&lt;="&amp;G300,'C30规则'!$F$5:$F$9,"&gt;="&amp;G300,'C30规则'!$G$5:$G$9,"&lt;="&amp;H300,'C30规则'!$H$5:$H$9,"&gt;="&amp;H300,'C30规则'!$I$5:$I$9,"&lt;="&amp;I300,'C30规则'!$J$5:$J$9,"&gt;="&amp;I300,'C30规则'!$K$5:$K$9,"&lt;="&amp;J300,'C30规则'!$L$5:$L$9,"&gt;="&amp;J300)=1,"通过","检查")</x:f>
        <x:v>通过</x:v>
      </x:c>
      <x:c r="O300" s="29" t="str">
        <x:v>RULE_DERIVED</x:v>
      </x:c>
    </x:row>
    <x:row r="301">
      <x:c r="A301" s="29" t="str">
        <x:v>C30-20260827-007</x:v>
      </x:c>
      <x:c r="B301" s="32" t="n">
        <x:v>46261.53402777778</x:v>
      </x:c>
      <x:c r="C301" s="29" t="str">
        <x:v>C30</x:v>
      </x:c>
      <x:c r="D301" s="29" t="str">
        <x:v>WET_SEVERE</x:v>
      </x:c>
      <x:c r="E301" s="35" t="n">
        <x:v>43.6</x:v>
      </x:c>
      <x:c r="F301" s="41" t="str">
        <x:v>过稀，泌水，离析，骨料下沉，存在堵泵风险</x:v>
      </x:c>
      <x:c r="G301" s="38" t="n">
        <x:v>51</x:v>
      </x:c>
      <x:c r="H301" s="38" t="n">
        <x:v>231</x:v>
      </x:c>
      <x:c r="I301" s="38" t="n">
        <x:v>643</x:v>
      </x:c>
      <x:c r="J301" s="35" t="n">
        <x:v>1.3</x:v>
      </x:c>
      <x:c r="K301" s="29" t="str">
        <x:v>不合格</x:v>
      </x:c>
      <x:c r="L301" s="41" t="str">
        <x:v>立即暂停出料；加入10–12kg/m³干砂和3–5kg/m³水泥，搅拌60s后复测；仍离析则废弃并排查计量系统。</x:v>
      </x:c>
      <x:c r="M301" s="29" t="str">
        <x:v>是</x:v>
      </x:c>
      <x:c r="N301" s="29" t="str">
        <x:f>IF(COUNTIFS('C30规则'!$A$5:$A$9,D301,'C30规则'!$C$5:$C$9,"&lt;="&amp;E301,'C30规则'!$D$5:$D$9,"&gt;="&amp;E301,'C30规则'!$E$5:$E$9,"&lt;="&amp;G301,'C30规则'!$F$5:$F$9,"&gt;="&amp;G301,'C30规则'!$G$5:$G$9,"&lt;="&amp;H301,'C30规则'!$H$5:$H$9,"&gt;="&amp;H301,'C30规则'!$I$5:$I$9,"&lt;="&amp;I301,'C30规则'!$J$5:$J$9,"&gt;="&amp;I301,'C30规则'!$K$5:$K$9,"&lt;="&amp;J301,'C30规则'!$L$5:$L$9,"&gt;="&amp;J301)=1,"通过","检查")</x:f>
        <x:v>通过</x:v>
      </x:c>
      <x:c r="O301" s="29" t="str">
        <x:v>RULE_DERIVED</x:v>
      </x:c>
    </x:row>
    <x:row r="302">
      <x:c r="A302" s="29" t="str">
        <x:v>C30-20260827-008</x:v>
      </x:c>
      <x:c r="B302" s="32" t="n">
        <x:v>46261.56875</x:v>
      </x:c>
      <x:c r="C302" s="29" t="str">
        <x:v>C30</x:v>
      </x:c>
      <x:c r="D302" s="29" t="str">
        <x:v>NORMAL</x:v>
      </x:c>
      <x:c r="E302" s="35" t="n">
        <x:v>55.3</x:v>
      </x:c>
      <x:c r="F302" s="41" t="str">
        <x:v>稠度适中，包裹性好，不泌水，不结块，泵送顺畅</x:v>
      </x:c>
      <x:c r="G302" s="38" t="n">
        <x:v>18</x:v>
      </x:c>
      <x:c r="H302" s="38" t="n">
        <x:v>198</x:v>
      </x:c>
      <x:c r="I302" s="38" t="n">
        <x:v>568</x:v>
      </x:c>
      <x:c r="J302" s="35" t="n">
        <x:v>2.6</x:v>
      </x:c>
      <x:c r="K302" s="29" t="str">
        <x:v>合格</x:v>
      </x:c>
      <x:c r="L302" s="41" t="str">
        <x:v>终止搅拌，直接出料；同步记录台账，留存实测参数备查。</x:v>
      </x:c>
      <x:c r="M302" s="29" t="str">
        <x:v>否</x:v>
      </x:c>
      <x:c r="N302" s="29" t="str">
        <x:f>IF(COUNTIFS('C30规则'!$A$5:$A$9,D302,'C30规则'!$C$5:$C$9,"&lt;="&amp;E302,'C30规则'!$D$5:$D$9,"&gt;="&amp;E302,'C30规则'!$E$5:$E$9,"&lt;="&amp;G302,'C30规则'!$F$5:$F$9,"&gt;="&amp;G302,'C30规则'!$G$5:$G$9,"&lt;="&amp;H302,'C30规则'!$H$5:$H$9,"&gt;="&amp;H302,'C30规则'!$I$5:$I$9,"&lt;="&amp;I302,'C30规则'!$J$5:$J$9,"&gt;="&amp;I302,'C30规则'!$K$5:$K$9,"&lt;="&amp;J302,'C30规则'!$L$5:$L$9,"&gt;="&amp;J302)=1,"通过","检查")</x:f>
        <x:v>通过</x:v>
      </x:c>
      <x:c r="O302" s="29" t="str">
        <x:v>RULE_DERIVED</x:v>
      </x:c>
    </x:row>
    <x:row r="303">
      <x:c r="A303" s="29" t="str">
        <x:v>C30-20260827-009</x:v>
      </x:c>
      <x:c r="B303" s="32" t="n">
        <x:v>46261.60486111111</x:v>
      </x:c>
      <x:c r="C303" s="29" t="str">
        <x:v>C30</x:v>
      </x:c>
      <x:c r="D303" s="29" t="str">
        <x:v>DRY_MILD</x:v>
      </x:c>
      <x:c r="E303" s="35" t="n">
        <x:v>68.7</x:v>
      </x:c>
      <x:c r="F303" s="41" t="str">
        <x:v>偏干，骨料微裸露，流动性偏弱</x:v>
      </x:c>
      <x:c r="G303" s="38" t="n">
        <x:v>-28</x:v>
      </x:c>
      <x:c r="H303" s="38" t="n">
        <x:v>152</x:v>
      </x:c>
      <x:c r="I303" s="38" t="n">
        <x:v>500</x:v>
      </x:c>
      <x:c r="J303" s="35" t="n">
        <x:v>5.3</x:v>
      </x:c>
      <x:c r="K303" s="29" t="str">
        <x:v>轻微异常</x:v>
      </x:c>
      <x:c r="L303" s="41" t="str">
        <x:v>优先增加聚羧酸减水剂掺量0.1%，搅拌30s后复测，达标后出料。</x:v>
      </x:c>
      <x:c r="M303" s="29" t="str">
        <x:v>是</x:v>
      </x:c>
      <x:c r="N303" s="29" t="str">
        <x:f>IF(COUNTIFS('C30规则'!$A$5:$A$9,D303,'C30规则'!$C$5:$C$9,"&lt;="&amp;E303,'C30规则'!$D$5:$D$9,"&gt;="&amp;E303,'C30规则'!$E$5:$E$9,"&lt;="&amp;G303,'C30规则'!$F$5:$F$9,"&gt;="&amp;G303,'C30规则'!$G$5:$G$9,"&lt;="&amp;H303,'C30规则'!$H$5:$H$9,"&gt;="&amp;H303,'C30规则'!$I$5:$I$9,"&lt;="&amp;I303,'C30规则'!$J$5:$J$9,"&gt;="&amp;I303,'C30规则'!$K$5:$K$9,"&lt;="&amp;J303,'C30规则'!$L$5:$L$9,"&gt;="&amp;J303)=1,"通过","检查")</x:f>
        <x:v>通过</x:v>
      </x:c>
      <x:c r="O303" s="29" t="str">
        <x:v>RULE_DERIVED</x:v>
      </x:c>
    </x:row>
    <x:row r="304">
      <x:c r="A304" s="30" t="str">
        <x:v>C30-20260827-010</x:v>
      </x:c>
      <x:c r="B304" s="33" t="n">
        <x:v>46261.63402777778</x:v>
      </x:c>
      <x:c r="C304" s="30" t="str">
        <x:v>C30</x:v>
      </x:c>
      <x:c r="D304" s="30" t="str">
        <x:v>NORMAL</x:v>
      </x:c>
      <x:c r="E304" s="36" t="n">
        <x:v>55.8</x:v>
      </x:c>
      <x:c r="F304" s="42" t="str">
        <x:v>稠度适中，包裹性好，不泌水，不结块，泵送顺畅</x:v>
      </x:c>
      <x:c r="G304" s="39" t="n">
        <x:v>14</x:v>
      </x:c>
      <x:c r="H304" s="39" t="n">
        <x:v>194</x:v>
      </x:c>
      <x:c r="I304" s="39" t="n">
        <x:v>562</x:v>
      </x:c>
      <x:c r="J304" s="36" t="n">
        <x:v>2.8</x:v>
      </x:c>
      <x:c r="K304" s="30" t="str">
        <x:v>合格</x:v>
      </x:c>
      <x:c r="L304" s="42" t="str">
        <x:v>终止搅拌，直接出料；同步记录台账，留存实测参数备查。</x:v>
      </x:c>
      <x:c r="M304" s="30" t="str">
        <x:v>否</x:v>
      </x:c>
      <x:c r="N304" s="30" t="str">
        <x:f>IF(COUNTIFS('C30规则'!$A$5:$A$9,D304,'C30规则'!$C$5:$C$9,"&lt;="&amp;E304,'C30规则'!$D$5:$D$9,"&gt;="&amp;E304,'C30规则'!$E$5:$E$9,"&lt;="&amp;G304,'C30规则'!$F$5:$F$9,"&gt;="&amp;G304,'C30规则'!$G$5:$G$9,"&lt;="&amp;H304,'C30规则'!$H$5:$H$9,"&gt;="&amp;H304,'C30规则'!$I$5:$I$9,"&lt;="&amp;I304,'C30规则'!$J$5:$J$9,"&gt;="&amp;I304,'C30规则'!$K$5:$K$9,"&lt;="&amp;J304,'C30规则'!$L$5:$L$9,"&gt;="&amp;J304)=1,"通过","检查")</x:f>
        <x:v>通过</x:v>
      </x:c>
      <x:c r="O304" s="30" t="str">
        <x:v>RULE_DERIVED</x:v>
      </x:c>
    </x:row>
  </x:sheetData>
  <x:mergeCells>
    <x:mergeCell ref="A1:O1"/>
    <x:mergeCell ref="A3:O3"/>
  </x:mergeCells>
  <x:conditionalFormatting sqref="D5:D304">
    <x:cfRule type="containsText" dxfId="0" priority="1" operator="containsText" text="NORMAL"/>
  </x:conditionalFormatting>
  <x:conditionalFormatting sqref="N5:N304">
    <x:cfRule type="containsText" dxfId="1" priority="2" operator="containsText" text="通过"/>
    <x:cfRule type="containsText" dxfId="2" priority="3" operator="containsText" text="检查"/>
  </x:conditionalFormatting>
  <x:pageMargins left="0.7" right="0.7" top="0.75" bottom="0.75" header="0.3" footer="0.3"/>
  <x:tableParts count="1">
    <x:tablePart xmlns:r="http://schemas.openxmlformats.org/officeDocument/2006/relationships" r:id="R0bad55a0bfe34d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3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4" hidden="0" customWidth="1"/>
    <x:col min="15" max="15" width="58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0" customHeight="1">
      <x:c r="A1" s="3" t="str">
        <x:v>C30 泵送混凝土五档工作性规则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4" t="str">
        <x:v>正常基准：坍落度 180mm；联合使用电流、视频状态、坍落度、扩展度和倒置坍落度时间判定。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4" ht="42" customHeight="1">
      <x:c r="A4" s="23" t="str">
        <x:v>condition_code</x:v>
      </x:c>
      <x:c r="B4" s="23" t="str">
        <x:v>工况</x:v>
      </x:c>
      <x:c r="C4" s="23" t="str">
        <x:v>电流下限(A)</x:v>
      </x:c>
      <x:c r="D4" s="23" t="str">
        <x:v>电流上限(A)</x:v>
      </x:c>
      <x:c r="E4" s="23" t="str">
        <x:v>坍落度偏差下限(mm)</x:v>
      </x:c>
      <x:c r="F4" s="23" t="str">
        <x:v>坍落度偏差上限(mm)</x:v>
      </x:c>
      <x:c r="G4" s="23" t="str">
        <x:v>坍落度下限(mm)</x:v>
      </x:c>
      <x:c r="H4" s="23" t="str">
        <x:v>坍落度上限(mm)</x:v>
      </x:c>
      <x:c r="I4" s="23" t="str">
        <x:v>扩展度下限(mm)</x:v>
      </x:c>
      <x:c r="J4" s="23" t="str">
        <x:v>扩展度上限(mm)</x:v>
      </x:c>
      <x:c r="K4" s="23" t="str">
        <x:v>倒坍时间下限(s)</x:v>
      </x:c>
      <x:c r="L4" s="23" t="str">
        <x:v>倒坍时间上限(s)</x:v>
      </x:c>
      <x:c r="M4" s="23" t="str">
        <x:v>现场视频状态</x:v>
      </x:c>
      <x:c r="N4" s="23" t="str">
        <x:v>现场判定</x:v>
      </x:c>
      <x:c r="O4" s="23" t="str">
        <x:v>处置措施</x:v>
      </x:c>
      <x:c r="P4" s="23" t="str">
        <x:v>是否复测</x:v>
      </x:c>
      <x:c r="Q4" s="23" t="str">
        <x:v>样本数</x:v>
      </x:c>
      <x:c r="R4" s="23" t="str">
        <x:v>样本占比</x:v>
      </x:c>
    </x:row>
    <x:row r="5" ht="54" customHeight="1">
      <x:c r="A5" s="58" t="str">
        <x:v>NORMAL</x:v>
      </x:c>
      <x:c r="B5" s="58" t="str">
        <x:v>正常</x:v>
      </x:c>
      <x:c r="C5" s="58" t="n">
        <x:v>55</x:v>
      </x:c>
      <x:c r="D5" s="58" t="n">
        <x:v>60</x:v>
      </x:c>
      <x:c r="E5" s="58" t="n">
        <x:v>-20</x:v>
      </x:c>
      <x:c r="F5" s="58" t="n">
        <x:v>20</x:v>
      </x:c>
      <x:c r="G5" s="58" t="n">
        <x:v>160</x:v>
      </x:c>
      <x:c r="H5" s="58" t="n">
        <x:v>200</x:v>
      </x:c>
      <x:c r="I5" s="58" t="n">
        <x:v>530</x:v>
      </x:c>
      <x:c r="J5" s="58" t="n">
        <x:v>570</x:v>
      </x:c>
      <x:c r="K5" s="58" t="n">
        <x:v>2.5</x:v>
      </x:c>
      <x:c r="L5" s="58" t="n">
        <x:v>4.5</x:v>
      </x:c>
      <x:c r="M5" s="58" t="str">
        <x:v>稠度适中，包裹性好，不泌水，不结块，泵送顺畅</x:v>
      </x:c>
      <x:c r="N5" s="58" t="str">
        <x:v>合格</x:v>
      </x:c>
      <x:c r="O5" s="58" t="str">
        <x:v>终止搅拌，直接出料；同步记录台账，留存实测参数备查。</x:v>
      </x:c>
      <x:c r="P5" s="58" t="str">
        <x:v>否</x:v>
      </x:c>
      <x:c r="Q5" s="58" t="n">
        <x:v>180</x:v>
      </x:c>
      <x:c r="R5" s="59" t="n">
        <x:v>0.6</x:v>
      </x:c>
    </x:row>
    <x:row r="6" ht="54" customHeight="1">
      <x:c r="A6" s="60" t="str">
        <x:v>DRY_MILD</x:v>
      </x:c>
      <x:c r="B6" s="60" t="str">
        <x:v>偏干·轻微</x:v>
      </x:c>
      <x:c r="C6" s="60" t="n">
        <x:v>60</x:v>
      </x:c>
      <x:c r="D6" s="60" t="n">
        <x:v>70</x:v>
      </x:c>
      <x:c r="E6" s="60" t="n">
        <x:v>-30</x:v>
      </x:c>
      <x:c r="F6" s="60" t="n">
        <x:v>-20</x:v>
      </x:c>
      <x:c r="G6" s="60" t="n">
        <x:v>150</x:v>
      </x:c>
      <x:c r="H6" s="60" t="n">
        <x:v>160</x:v>
      </x:c>
      <x:c r="I6" s="60" t="n">
        <x:v>500</x:v>
      </x:c>
      <x:c r="J6" s="60" t="n">
        <x:v>520</x:v>
      </x:c>
      <x:c r="K6" s="60" t="n">
        <x:v>4.6</x:v>
      </x:c>
      <x:c r="L6" s="60" t="n">
        <x:v>5.5</x:v>
      </x:c>
      <x:c r="M6" s="60" t="str">
        <x:v>偏干，骨料微裸露，流动性偏弱</x:v>
      </x:c>
      <x:c r="N6" s="60" t="str">
        <x:v>轻微异常</x:v>
      </x:c>
      <x:c r="O6" s="60" t="str">
        <x:v>优先增加聚羧酸减水剂掺量0.1%，搅拌30s后复测，达标后出料。</x:v>
      </x:c>
      <x:c r="P6" s="60" t="str">
        <x:v>是</x:v>
      </x:c>
      <x:c r="Q6" s="60" t="n">
        <x:v>45</x:v>
      </x:c>
      <x:c r="R6" s="61" t="n">
        <x:v>0.15</x:v>
      </x:c>
    </x:row>
    <x:row r="7" ht="54" customHeight="1">
      <x:c r="A7" s="62" t="str">
        <x:v>DRY_SEVERE</x:v>
      </x:c>
      <x:c r="B7" s="62" t="str">
        <x:v>偏干·严重</x:v>
      </x:c>
      <x:c r="C7" s="62" t="n">
        <x:v>70</x:v>
      </x:c>
      <x:c r="D7" s="62" t="n">
        <x:v>80</x:v>
      </x:c>
      <x:c r="E7" s="62" t="n">
        <x:v>-60</x:v>
      </x:c>
      <x:c r="F7" s="62" t="n">
        <x:v>-40</x:v>
      </x:c>
      <x:c r="G7" s="62" t="n">
        <x:v>120</x:v>
      </x:c>
      <x:c r="H7" s="62" t="n">
        <x:v>140</x:v>
      </x:c>
      <x:c r="I7" s="62" t="n">
        <x:v>450</x:v>
      </x:c>
      <x:c r="J7" s="62" t="n">
        <x:v>490</x:v>
      </x:c>
      <x:c r="K7" s="62" t="n">
        <x:v>5.6</x:v>
      </x:c>
      <x:c r="L7" s="62" t="n">
        <x:v>7</x:v>
      </x:c>
      <x:c r="M7" s="62" t="str">
        <x:v>干涩，结块，挂壁，流动性极差，无法泵送</x:v>
      </x:c>
      <x:c r="N7" s="62" t="str">
        <x:v>不合格</x:v>
      </x:c>
      <x:c r="O7" s="62" t="str">
        <x:v>优先补加0.2%减水剂和5kg清水，搅拌60s后复测。</x:v>
      </x:c>
      <x:c r="P7" s="62" t="str">
        <x:v>是</x:v>
      </x:c>
      <x:c r="Q7" s="62" t="n">
        <x:v>30</x:v>
      </x:c>
      <x:c r="R7" s="63" t="n">
        <x:v>0.1</x:v>
      </x:c>
    </x:row>
    <x:row r="8" ht="54" customHeight="1">
      <x:c r="A8" s="64" t="str">
        <x:v>WET_MILD</x:v>
      </x:c>
      <x:c r="B8" s="64" t="str">
        <x:v>偏稀·轻微</x:v>
      </x:c>
      <x:c r="C8" s="64" t="n">
        <x:v>45</x:v>
      </x:c>
      <x:c r="D8" s="64" t="n">
        <x:v>55</x:v>
      </x:c>
      <x:c r="E8" s="64" t="n">
        <x:v>20</x:v>
      </x:c>
      <x:c r="F8" s="64" t="n">
        <x:v>30</x:v>
      </x:c>
      <x:c r="G8" s="64" t="n">
        <x:v>200</x:v>
      </x:c>
      <x:c r="H8" s="64" t="n">
        <x:v>210</x:v>
      </x:c>
      <x:c r="I8" s="64" t="n">
        <x:v>580</x:v>
      </x:c>
      <x:c r="J8" s="64" t="n">
        <x:v>610</x:v>
      </x:c>
      <x:c r="K8" s="64" t="n">
        <x:v>1.8</x:v>
      </x:c>
      <x:c r="L8" s="64" t="n">
        <x:v>2.4</x:v>
      </x:c>
      <x:c r="M8" s="64" t="str">
        <x:v>偏稀，流动性偏大，无泌水</x:v>
      </x:c>
      <x:c r="N8" s="64" t="str">
        <x:v>轻微异常</x:v>
      </x:c>
      <x:c r="O8" s="64" t="str">
        <x:v>加入5–8kg/m³干砂，搅拌30s后复测，达标后正常出料并观察泵送。</x:v>
      </x:c>
      <x:c r="P8" s="64" t="str">
        <x:v>是</x:v>
      </x:c>
      <x:c r="Q8" s="64" t="n">
        <x:v>30</x:v>
      </x:c>
      <x:c r="R8" s="65" t="n">
        <x:v>0.1</x:v>
      </x:c>
    </x:row>
    <x:row r="9" ht="54" customHeight="1">
      <x:c r="A9" s="66" t="str">
        <x:v>WET_SEVERE</x:v>
      </x:c>
      <x:c r="B9" s="66" t="str">
        <x:v>偏稀·严重</x:v>
      </x:c>
      <x:c r="C9" s="66" t="n">
        <x:v>40</x:v>
      </x:c>
      <x:c r="D9" s="66" t="n">
        <x:v>50</x:v>
      </x:c>
      <x:c r="E9" s="66" t="n">
        <x:v>40</x:v>
      </x:c>
      <x:c r="F9" s="66" t="n">
        <x:v>60</x:v>
      </x:c>
      <x:c r="G9" s="66" t="n">
        <x:v>220</x:v>
      </x:c>
      <x:c r="H9" s="66" t="n">
        <x:v>240</x:v>
      </x:c>
      <x:c r="I9" s="66" t="n">
        <x:v>620</x:v>
      </x:c>
      <x:c r="J9" s="66" t="n">
        <x:v>660</x:v>
      </x:c>
      <x:c r="K9" s="66" t="n">
        <x:v>1</x:v>
      </x:c>
      <x:c r="L9" s="66" t="n">
        <x:v>1.7</x:v>
      </x:c>
      <x:c r="M9" s="66" t="str">
        <x:v>过稀，泌水，离析，骨料下沉，存在堵泵风险</x:v>
      </x:c>
      <x:c r="N9" s="66" t="str">
        <x:v>不合格</x:v>
      </x:c>
      <x:c r="O9" s="66" t="str">
        <x:v>立即暂停出料；加入10–12kg/m³干砂和3–5kg/m³水泥，搅拌60s后复测；仍离析则废弃并排查计量系统。</x:v>
      </x:c>
      <x:c r="P9" s="66" t="str">
        <x:v>是</x:v>
      </x:c>
      <x:c r="Q9" s="66" t="n">
        <x:v>15</x:v>
      </x:c>
      <x:c r="R9" s="67" t="n">
        <x:v>0.05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39939a8333554b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18" hidden="0" customWidth="1"/>
    <x:col min="4" max="4" width="26" hidden="0" customWidth="1"/>
    <x:col min="5" max="5" width="48" hidden="0" customWidth="1"/>
  </x:cols>
  <x:sheetData>
    <x:row r="1" ht="30" customHeight="1">
      <x:c r="A1" s="3" t="str">
        <x:v>C30 数据集字段说明</x:v>
      </x:c>
      <x:c r="B1" s="3"/>
      <x:c r="C1" s="3"/>
      <x:c r="D1" s="3"/>
      <x:c r="E1" s="3"/>
    </x:row>
    <x:row r="3">
      <x:c r="A3" s="23" t="str">
        <x:v>字段名</x:v>
      </x:c>
      <x:c r="B3" s="23" t="str">
        <x:v>中文含义</x:v>
      </x:c>
      <x:c r="C3" s="23" t="str">
        <x:v>类型/单位</x:v>
      </x:c>
      <x:c r="D3" s="23" t="str">
        <x:v>示例</x:v>
      </x:c>
      <x:c r="E3" s="23" t="str">
        <x:v>使用说明</x:v>
      </x:c>
    </x:row>
    <x:row r="4" ht="32" customHeight="1">
      <x:c r="A4" s="74" t="str">
        <x:v>batch_id</x:v>
      </x:c>
      <x:c r="B4" s="74" t="str">
        <x:v>批次编号</x:v>
      </x:c>
      <x:c r="C4" s="74" t="str">
        <x:v>文本</x:v>
      </x:c>
      <x:c r="D4" s="74" t="str">
        <x:v>C30-20260729-001</x:v>
      </x:c>
      <x:c r="E4" s="74" t="str">
        <x:v>虚构且唯一，可用于 SQLite 主键</x:v>
      </x:c>
    </x:row>
    <x:row r="5" ht="32" customHeight="1">
      <x:c r="A5" s="75" t="str">
        <x:v>production_time</x:v>
      </x:c>
      <x:c r="B5" s="75" t="str">
        <x:v>生产时间</x:v>
      </x:c>
      <x:c r="C5" s="75" t="str">
        <x:v>日期时间</x:v>
      </x:c>
      <x:c r="D5" s="75" t="str">
        <x:v>2026-07-29 08:03:00</x:v>
      </x:c>
      <x:c r="E5" s="75" t="str">
        <x:v>按时间排序的演示批次时间</x:v>
      </x:c>
    </x:row>
    <x:row r="6" ht="32" customHeight="1">
      <x:c r="A6" s="75" t="str">
        <x:v>strength_grade</x:v>
      </x:c>
      <x:c r="B6" s="75" t="str">
        <x:v>强度等级</x:v>
      </x:c>
      <x:c r="C6" s="75" t="str">
        <x:v>文本</x:v>
      </x:c>
      <x:c r="D6" s="75" t="str">
        <x:v>C30</x:v>
      </x:c>
      <x:c r="E6" s="75" t="str">
        <x:v>本 POC 固定为 C30</x:v>
      </x:c>
    </x:row>
    <x:row r="7" ht="32" customHeight="1">
      <x:c r="A7" s="75" t="str">
        <x:v>condition_code</x:v>
      </x:c>
      <x:c r="B7" s="75" t="str">
        <x:v>工况代码</x:v>
      </x:c>
      <x:c r="C7" s="75" t="str">
        <x:v>枚举</x:v>
      </x:c>
      <x:c r="D7" s="75" t="str">
        <x:v>DRY_MILD</x:v>
      </x:c>
      <x:c r="E7" s="75" t="str">
        <x:v>五档规则之一</x:v>
      </x:c>
    </x:row>
    <x:row r="8" ht="32" customHeight="1">
      <x:c r="A8" s="75" t="str">
        <x:v>mixing_current_a</x:v>
      </x:c>
      <x:c r="B8" s="75" t="str">
        <x:v>实时搅拌代表电流</x:v>
      </x:c>
      <x:c r="C8" s="75" t="str">
        <x:v>A，1位小数</x:v>
      </x:c>
      <x:c r="D8" s="75" t="str">
        <x:v>65.2</x:v>
      </x:c>
      <x:c r="E8" s="75" t="str">
        <x:v>落在对应工况电流区间</x:v>
      </x:c>
    </x:row>
    <x:row r="9" ht="32" customHeight="1">
      <x:c r="A9" s="75" t="str">
        <x:v>visual_workability</x:v>
      </x:c>
      <x:c r="B9" s="75" t="str">
        <x:v>视频观察工作状态</x:v>
      </x:c>
      <x:c r="C9" s="75" t="str">
        <x:v>文本</x:v>
      </x:c>
      <x:c r="D9" s="75" t="str">
        <x:v>偏干，流动性偏弱</x:v>
      </x:c>
      <x:c r="E9" s="75" t="str">
        <x:v>来自脱敏规则描述</x:v>
      </x:c>
    </x:row>
    <x:row r="10" ht="32" customHeight="1">
      <x:c r="A10" s="75" t="str">
        <x:v>slump_deviation_mm</x:v>
      </x:c>
      <x:c r="B10" s="75" t="str">
        <x:v>坍落度相对180mm偏差</x:v>
      </x:c>
      <x:c r="C10" s="75" t="str">
        <x:v>mm，整数</x:v>
      </x:c>
      <x:c r="D10" s="75" t="str">
        <x:v>-25</x:v>
      </x:c>
      <x:c r="E10" s="75" t="str">
        <x:v>负值偏低，正值偏高</x:v>
      </x:c>
    </x:row>
    <x:row r="11" ht="32" customHeight="1">
      <x:c r="A11" s="75" t="str">
        <x:v>measured_slump_mm</x:v>
      </x:c>
      <x:c r="B11" s="75" t="str">
        <x:v>坍落度观测值</x:v>
      </x:c>
      <x:c r="C11" s="75" t="str">
        <x:v>mm，整数</x:v>
      </x:c>
      <x:c r="D11" s="75" t="str">
        <x:v>155</x:v>
      </x:c>
      <x:c r="E11" s="75" t="str">
        <x:v>180 + slump_deviation_mm</x:v>
      </x:c>
    </x:row>
    <x:row r="12" ht="32" customHeight="1">
      <x:c r="A12" s="75" t="str">
        <x:v>measured_spread_mm</x:v>
      </x:c>
      <x:c r="B12" s="75" t="str">
        <x:v>扩展度观测值</x:v>
      </x:c>
      <x:c r="C12" s="75" t="str">
        <x:v>mm，整数</x:v>
      </x:c>
      <x:c r="D12" s="75" t="str">
        <x:v>510</x:v>
      </x:c>
      <x:c r="E12" s="75" t="str">
        <x:v>落在对应工况区间</x:v>
      </x:c>
    </x:row>
    <x:row r="13" ht="32" customHeight="1">
      <x:c r="A13" s="75" t="str">
        <x:v>inverted_slump_time_s</x:v>
      </x:c>
      <x:c r="B13" s="75" t="str">
        <x:v>倒置坍落度时间</x:v>
      </x:c>
      <x:c r="C13" s="75" t="str">
        <x:v>s，1位小数</x:v>
      </x:c>
      <x:c r="D13" s="75" t="str">
        <x:v>5.1</x:v>
      </x:c>
      <x:c r="E13" s="75" t="str">
        <x:v>落在对应工况区间</x:v>
      </x:c>
    </x:row>
    <x:row r="14" ht="32" customHeight="1">
      <x:c r="A14" s="75" t="str">
        <x:v>field_judgement</x:v>
      </x:c>
      <x:c r="B14" s="75" t="str">
        <x:v>现场采集结果判定</x:v>
      </x:c>
      <x:c r="C14" s="75" t="str">
        <x:v>枚举</x:v>
      </x:c>
      <x:c r="D14" s="75" t="str">
        <x:v>轻微异常</x:v>
      </x:c>
      <x:c r="E14" s="75" t="str">
        <x:v>合格/轻微异常/不合格</x:v>
      </x:c>
    </x:row>
    <x:row r="15" ht="32" customHeight="1">
      <x:c r="A15" s="75" t="str">
        <x:v>disposition_action</x:v>
      </x:c>
      <x:c r="B15" s="75" t="str">
        <x:v>处置措施</x:v>
      </x:c>
      <x:c r="C15" s="75" t="str">
        <x:v>文本</x:v>
      </x:c>
      <x:c r="D15" s="75" t="str">
        <x:v>调整后复测</x:v>
      </x:c>
      <x:c r="E15" s="75" t="str">
        <x:v>对应规则处置动作</x:v>
      </x:c>
    </x:row>
    <x:row r="16" ht="32" customHeight="1">
      <x:c r="A16" s="75" t="str">
        <x:v>retest_required</x:v>
      </x:c>
      <x:c r="B16" s="75" t="str">
        <x:v>是否复测</x:v>
      </x:c>
      <x:c r="C16" s="75" t="str">
        <x:v>是/否</x:v>
      </x:c>
      <x:c r="D16" s="75" t="str">
        <x:v>是</x:v>
      </x:c>
      <x:c r="E16" s="75" t="str">
        <x:v>异常工况均需复测</x:v>
      </x:c>
    </x:row>
    <x:row r="17" ht="32" customHeight="1">
      <x:c r="A17" s="75" t="str">
        <x:v>rule_check</x:v>
      </x:c>
      <x:c r="B17" s="75" t="str">
        <x:v>规则校验</x:v>
      </x:c>
      <x:c r="C17" s="75" t="str">
        <x:v>Excel公式</x:v>
      </x:c>
      <x:c r="D17" s="75" t="str">
        <x:v>通过</x:v>
      </x:c>
      <x:c r="E17" s="75" t="str">
        <x:v>联合校验五个数值字段</x:v>
      </x:c>
    </x:row>
    <x:row r="18" ht="32" customHeight="1">
      <x:c r="A18" s="76" t="str">
        <x:v>data_source</x:v>
      </x:c>
      <x:c r="B18" s="76" t="str">
        <x:v>数据来源标识</x:v>
      </x:c>
      <x:c r="C18" s="76" t="str">
        <x:v>文本</x:v>
      </x:c>
      <x:c r="D18" s="76" t="str">
        <x:v>RULE_DERIVED</x:v>
      </x:c>
      <x:c r="E18" s="76" t="str">
        <x:v>规则驱动的数据集标识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6f47ebd5d484d3a"/>
  </x:tableParts>
</x:worksheet>
</file>